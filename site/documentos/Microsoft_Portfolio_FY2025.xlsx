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56fa0f0e7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iliação" sheetId="1" r:id="R00cce43cf9264ada"/>
    <x:sheet xmlns:r="http://schemas.openxmlformats.org/officeDocument/2006/relationships" name="Impacto" sheetId="2" r:id="Rf04061f7238c40b4"/>
    <x:sheet xmlns:r="http://schemas.openxmlformats.org/officeDocument/2006/relationships" name="Dados" sheetId="3" r:id="Ra0f5f8523953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;(#,##0);&quot;-&quot;"/>
    <x:numFmt numFmtId="201" formatCode="&quot;$&quot;#,##0;(&quot;$&quot;#,##0);&quot;-&quot;"/>
    <x:numFmt numFmtId="202" formatCode="0.0%;(0.0%);&quot;-&quot;"/>
    <x:numFmt numFmtId="203" formatCode="0.00;(0.00);0.00"/>
    <x:numFmt numFmtId="204" formatCode="#,##0.0;(#,##0.0);&quot;-&quot;"/>
    <x:numFmt numFmtId="205" formatCode="#,##0.00;(#,##0.00);&quot;-&quot;"/>
    <x:numFmt numFmtId="206" formatCode="dd/mm/yyyy"/>
    <x:numFmt numFmtId="207" formatCode="  @"/>
    <x:numFmt numFmtId="208" formatCode="0.0%"/>
    <x:numFmt numFmtId="209" formatCode="0.00%"/>
    <x:numFmt numFmtId="210" formatCode="&quot;&gt; &quot;#,##0"/>
    <x:numFmt numFmtId="211" formatCode="&quot;&gt; &quot;#,##0.0"/>
  </x:numFmts>
  <x:fonts count="10">
    <x:font>
      <x:sz val="11"/>
      <x:name val="Carlito"/>
    </x:font>
    <x:font>
      <x:sz val="10"/>
      <x:color rgb="FF172B3A"/>
      <x:name val="Arial"/>
    </x:font>
    <x:font>
      <x:b/>
      <x:sz val="16"/>
      <x:color rgb="FF174C3C"/>
      <x:name val="Arial"/>
    </x:font>
    <x:font>
      <x:i/>
      <x:sz val="10"/>
      <x:color rgb="FF576675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4C3C"/>
      <x:name val="Arial"/>
    </x:font>
    <x:font>
      <x:sz val="10"/>
      <x:color rgb="FF008000"/>
      <x:name val="Arial"/>
    </x:font>
    <x:font>
      <x:b/>
      <x:sz val="10"/>
      <x:color rgb="FF172B3A"/>
      <x:name val="Arial"/>
    </x:font>
    <x:font>
      <x:i/>
      <x:sz val="10"/>
      <x:color rgb="FF172B3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FFFFFF"/>
      </x:patternFill>
    </x:fill>
    <x:fill>
      <x:patternFill patternType="solid">
        <x:fgColor rgb="FFEAF2ED"/>
      </x:patternFill>
    </x:fill>
    <x:fill>
      <x:patternFill patternType="solid">
        <x:fgColor rgb="FFFFF2CC"/>
      </x:patternFill>
    </x:fill>
    <x:fill>
      <x:patternFill patternType="solid">
        <x:fgColor rgb="FFF6F8F6"/>
      </x:patternFill>
    </x:fill>
  </x:fills>
  <x:borders count="7">
    <x:border/>
    <x:border>
      <x:bottom style="thin">
        <x:color rgb="FF174C3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CFD7DF"/>
      </x:top>
    </x:border>
    <x:border>
      <x:bottom style="thin">
        <x:color rgb="FFCFD7DF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horizontal="right" vertical="center"/>
    </x:xf>
    <x:xf numFmtId="0" fontId="8" fillId="0" borderId="5" xfId="0" applyNumberFormat="1" applyFont="1" applyFill="1" applyBorder="1" applyAlignment="1">
      <x:alignment vertical="center"/>
    </x:xf>
    <x:xf numFmtId="201" fontId="8" fillId="0" borderId="5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6" fillId="4" borderId="6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 wrapText="1"/>
    </x:xf>
    <x:xf numFmtId="205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horizontal="right" vertical="center" wrapText="1"/>
    </x:xf>
    <x:xf numFmtId="207" fontId="1" fillId="6" borderId="0" xfId="0" applyNumberFormat="1" applyFont="1" applyFill="1" applyBorder="1" applyAlignment="1">
      <x:alignment vertical="center" wrapText="1"/>
    </x:xf>
    <x:xf numFmtId="208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 wrapText="1"/>
    </x:xf>
    <x:xf numFmtId="208" fontId="1" fillId="0" borderId="0" xfId="0" applyNumberFormat="1" applyFont="1" applyFill="1" applyBorder="1" applyAlignment="1">
      <x:alignment horizontal="right" vertical="center" wrapText="1"/>
    </x:xf>
    <x:xf numFmtId="208" fontId="1" fillId="6" borderId="0" xfId="0" applyNumberFormat="1" applyFont="1" applyFill="1" applyBorder="1" applyAlignment="1">
      <x:alignment horizontal="right" vertical="center" wrapText="1"/>
    </x:xf>
    <x:xf numFmtId="209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 wrapText="1"/>
    </x:xf>
    <x:xf numFmtId="209" fontId="1" fillId="0" borderId="0" xfId="0" applyNumberFormat="1" applyFont="1" applyFill="1" applyBorder="1" applyAlignment="1">
      <x:alignment horizontal="right" vertical="center" wrapText="1"/>
    </x:xf>
    <x:xf numFmtId="210" fontId="1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 wrapText="1"/>
    </x:xf>
    <x:xf numFmtId="210" fontId="1" fillId="0" borderId="0" xfId="0" applyNumberFormat="1" applyFont="1" applyFill="1" applyBorder="1" applyAlignment="1">
      <x:alignment horizontal="right" vertical="center" wrapText="1"/>
    </x:xf>
    <x:xf numFmtId="210" fontId="1" fillId="6" borderId="0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204" fontId="1" fillId="6" borderId="0" xfId="0" applyNumberFormat="1" applyFont="1" applyFill="1" applyBorder="1" applyAlignment="1">
      <x:alignment horizontal="right" vertical="center" wrapText="1"/>
    </x:xf>
    <x:xf numFmtId="211" fontId="1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 wrapText="1"/>
    </x:xf>
    <x:xf numFmtId="211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4" fillId="2" borderId="4" xfId="0" applyNumberFormat="1" applyFont="1" applyFill="1" applyBorder="1" applyAlignment="1">
      <x:alignment horizontal="center" vertical="center" wrapText="0"/>
    </x:xf>
    <x:xf numFmtId="0" fontId="4" fillId="2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172B3A"/>
      </x:font>
      <x:fill>
        <x:patternFill patternType="solid">
          <x:bgColor rgb="FFFFF2CC"/>
        </x:patternFill>
      </x:fill>
    </x:dxf>
    <x:dxf>
      <x:font>
        <x:color rgb="FF172B3A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e37e0c6be42f5" /><Relationship Type="http://schemas.openxmlformats.org/officeDocument/2006/relationships/theme" Target="/xl/theme/theme1.xml" Id="R356f18ead8e0480e" /><Relationship Type="http://schemas.openxmlformats.org/officeDocument/2006/relationships/sharedStrings" Target="/xl/sharedStrings.xml" Id="R0387d2ca383c4f84" /><Relationship Type="http://schemas.openxmlformats.org/officeDocument/2006/relationships/worksheet" Target="/xl/worksheets/sheet1.xml" Id="R00cce43cf9264ada" /><Relationship Type="http://schemas.openxmlformats.org/officeDocument/2006/relationships/worksheet" Target="/xl/worksheets/sheet2.xml" Id="Rf04061f7238c40b4" /><Relationship Type="http://schemas.openxmlformats.org/officeDocument/2006/relationships/worksheet" Target="/xl/worksheets/sheet3.xml" Id="Ra0f5f85239534f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20c8244d654e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Lucro e caixa operacional (USD milhões)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Lucro líquido</c:v>
          </c:tx>
          <c:spPr>
            <a:solidFill xmlns:a="http://schemas.openxmlformats.org/drawingml/2006/main">
              <a:srgbClr val="174C3C"/>
            </a:solidFill>
            <a:ln xmlns:a="http://schemas.openxmlformats.org/drawingml/2006/main" w="19050">
              <a:solidFill>
                <a:srgbClr val="174C3C"/>
              </a:solidFill>
              <a:prstDash val="solid"/>
            </a:ln>
          </c:spPr>
          <c:marker>
            <c:symbol val="none"/>
          </c:marker>
          <c:cat>
            <c:strRef>
              <c:f>'Conciliação'!$H$56:$H$58</c:f>
              <c:strCache>
                <c:ptCount val="0"/>
              </c:strCache>
            </c:strRef>
          </c:cat>
          <c:val>
            <c:numRef>
              <c:f>'Conciliação'!$I$56:$I$58</c:f>
              <c:numCache>
                <c:formatCode>#,##0;(#,##0);"-"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Caixa operacional</c:v>
          </c:tx>
          <c:spPr>
            <a:solidFill xmlns:a="http://schemas.openxmlformats.org/drawingml/2006/main">
              <a:srgbClr val="7694A2"/>
            </a:solidFill>
            <a:ln xmlns:a="http://schemas.openxmlformats.org/drawingml/2006/main" w="19050">
              <a:solidFill>
                <a:srgbClr val="7694A2"/>
              </a:solidFill>
              <a:prstDash val="solid"/>
            </a:ln>
          </c:spPr>
          <c:marker>
            <c:symbol val="none"/>
          </c:marker>
          <c:cat>
            <c:strRef>
              <c:f>'Conciliação'!$H$56:$H$58</c:f>
              <c:strCache>
                <c:ptCount val="0"/>
              </c:strCache>
            </c:strRef>
          </c:cat>
          <c:val>
            <c:numRef>
              <c:f>'Conciliação'!$J$56:$J$58</c:f>
              <c:numCache>
                <c:formatCode>#,##0;(#,##0);"-"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20c8244d654ea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7ca9afab414110" /></Relationships>
</file>

<file path=xl/worksheets/sheet1.xml><?xml version="1.0" encoding="utf-8"?>
<x:worksheet xmlns:x="http://schemas.openxmlformats.org/spreadsheetml/2006/main">
  <x:sheetPr>
    <x:tabColor rgb="FF174C3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60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34" hidden="0" customWidth="1"/>
    <x:col min="9" max="9" width="17" hidden="0" customWidth="1"/>
    <x:col min="10" max="10" width="17" hidden="0" customWidth="1"/>
    <x:col min="11" max="11" width="17" hidden="0" customWidth="1"/>
    <x:col min="12" max="12" width="12" hidden="0" customWidth="1"/>
    <x:col min="13" max="13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9" customHeight="1">
      <x:c r="A2" s="2"/>
      <x:c r="B2" s="2"/>
      <x:c r="C2" s="4" t="str">
        <x:v>Microsoft. Lucro, caixa e proposta de destinação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2" customHeight="1">
      <x:c r="A3" s="2"/>
      <x:c r="B3" s="2"/>
      <x:c r="C3" s="6" t="str">
        <x:v>FY2023–FY2025. Exercícios encerrados em 30 de junho. USD milhões, exceto empregados e percentuais.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0" customHeight="1">
      <x:c r="A5" s="2"/>
      <x:c r="B5" s="2"/>
      <x:c r="C5" s="15" t="str">
        <x:v>Indicador</x:v>
      </x:c>
      <x:c r="D5" s="16" t="str">
        <x:v>FY:23</x:v>
      </x:c>
      <x:c r="E5" s="16" t="str">
        <x:v>FY:24</x:v>
      </x:c>
      <x:c r="F5" s="17" t="str">
        <x:v>FY:25</x:v>
      </x:c>
      <x:c r="G5" s="2"/>
      <x:c r="H5" s="2"/>
      <x:c r="I5" s="2"/>
      <x:c r="J5" s="2"/>
      <x:c r="K5" s="2"/>
      <x:c r="L5" s="2"/>
      <x:c r="M5" s="2"/>
    </x:row>
    <x:row r="6" ht="22" customHeight="1">
      <x:c r="A6" s="2"/>
      <x:c r="B6" s="2"/>
      <x:c r="C6" s="2" t="str">
        <x:v>Receita</x:v>
      </x:c>
      <x:c r="D6" s="39" t="n">
        <x:f>IF(ISNUMBER('Dados'!D6),'Dados'!D6,"N/D")</x:f>
        <x:v>211915</x:v>
      </x:c>
      <x:c r="E6" s="39" t="n">
        <x:f>IF(ISNUMBER('Dados'!E6),'Dados'!E6,"N/D")</x:f>
        <x:v>245122</x:v>
      </x:c>
      <x:c r="F6" s="39" t="n">
        <x:f>IF(ISNUMBER('Dados'!F6),'Dados'!F6,"N/D")</x:f>
        <x:v>281724</x:v>
      </x:c>
      <x:c r="G6" s="2"/>
      <x:c r="H6" s="2"/>
      <x:c r="I6" s="2"/>
      <x:c r="J6" s="2"/>
      <x:c r="K6" s="2"/>
      <x:c r="L6" s="2"/>
      <x:c r="M6" s="2"/>
    </x:row>
    <x:row r="7" ht="22" customHeight="1">
      <x:c r="A7" s="2"/>
      <x:c r="B7" s="2"/>
      <x:c r="C7" s="30" t="str">
        <x:v>Lucro líquido</x:v>
      </x:c>
      <x:c r="D7" s="31" t="n">
        <x:f>IF(ISNUMBER('Dados'!D7),'Dados'!D7,"N/D")</x:f>
        <x:v>72361</x:v>
      </x:c>
      <x:c r="E7" s="31" t="n">
        <x:f>IF(ISNUMBER('Dados'!E7),'Dados'!E7,"N/D")</x:f>
        <x:v>88136</x:v>
      </x:c>
      <x:c r="F7" s="31" t="n">
        <x:f>IF(ISNUMBER('Dados'!F7),'Dados'!F7,"N/D")</x:f>
        <x:v>101832</x:v>
      </x:c>
      <x:c r="G7" s="2"/>
      <x:c r="H7" s="2"/>
      <x:c r="I7" s="2"/>
      <x:c r="J7" s="2"/>
      <x:c r="K7" s="2"/>
      <x:c r="L7" s="2"/>
      <x:c r="M7" s="2"/>
    </x:row>
    <x:row r="8" ht="22" customHeight="1">
      <x:c r="A8" s="2"/>
      <x:c r="B8" s="2"/>
      <x:c r="C8" s="36" t="str">
        <x:v>Margem líquida</x:v>
      </x:c>
      <x:c r="D8" s="37" t="n">
        <x:f>IF(AND(ISNUMBER(D7),ISNUMBER(D6),D6&gt;0),D7/D6,"N/D")</x:f>
        <x:v>0.3414623787839464</x:v>
      </x:c>
      <x:c r="E8" s="37" t="n">
        <x:f>IF(AND(ISNUMBER(E7),ISNUMBER(E6),E6&gt;0),E7/E6,"N/D")</x:f>
        <x:v>0.35955972944084985</x:v>
      </x:c>
      <x:c r="F8" s="37" t="n">
        <x:f>IF(AND(ISNUMBER(F7),ISNUMBER(F6),F6&gt;0),F7/F6,"N/D")</x:f>
        <x:v>0.3614601524896707</x:v>
      </x:c>
      <x:c r="G8" s="2"/>
      <x:c r="H8" s="2"/>
      <x:c r="I8" s="2"/>
      <x:c r="J8" s="2"/>
      <x:c r="K8" s="2"/>
      <x:c r="L8" s="2"/>
      <x:c r="M8" s="2"/>
    </x:row>
    <x:row r="9" ht="22" customHeight="1">
      <x:c r="A9" s="2"/>
      <x:c r="B9" s="2"/>
      <x:c r="C9" s="2" t="str">
        <x:v>P&amp;D reconhecido como despesa</x:v>
      </x:c>
      <x:c r="D9" s="40" t="n">
        <x:f>IF(ISNUMBER('Dados'!D8),'Dados'!D8,"N/D")</x:f>
        <x:v>27195</x:v>
      </x:c>
      <x:c r="E9" s="40" t="n">
        <x:f>IF(ISNUMBER('Dados'!E8),'Dados'!E8,"N/D")</x:f>
        <x:v>29510</x:v>
      </x:c>
      <x:c r="F9" s="40" t="n">
        <x:f>IF(ISNUMBER('Dados'!F8),'Dados'!F8,"N/D")</x:f>
        <x:v>32488</x:v>
      </x:c>
      <x:c r="G9" s="2"/>
      <x:c r="H9" s="2"/>
      <x:c r="I9" s="2"/>
      <x:c r="J9" s="2"/>
      <x:c r="K9" s="2"/>
      <x:c r="L9" s="2"/>
      <x:c r="M9" s="2"/>
    </x:row>
    <x:row r="10" ht="22" customHeight="1">
      <x:c r="A10" s="2"/>
      <x:c r="B10" s="2"/>
      <x:c r="C10" s="36" t="str">
        <x:v>P&amp;D / receita</x:v>
      </x:c>
      <x:c r="D10" s="37" t="n">
        <x:f>IF(AND(ISNUMBER(D9),ISNUMBER(D6),D6&gt;0),D9/D6,"N/D")</x:f>
        <x:v>0.12832975485454073</x:v>
      </x:c>
      <x:c r="E10" s="37" t="n">
        <x:f>IF(AND(ISNUMBER(E9),ISNUMBER(E6),E6&gt;0),E9/E6,"N/D")</x:f>
        <x:v>0.12038903076835208</x:v>
      </x:c>
      <x:c r="F10" s="37" t="n">
        <x:f>IF(AND(ISNUMBER(F9),ISNUMBER(F6),F6&gt;0),F9/F6,"N/D")</x:f>
        <x:v>0.11531853871164686</x:v>
      </x:c>
      <x:c r="G10" s="2"/>
      <x:c r="H10" s="2"/>
      <x:c r="I10" s="2"/>
      <x:c r="J10" s="2"/>
      <x:c r="K10" s="2"/>
      <x:c r="L10" s="2"/>
      <x:c r="M10" s="2"/>
    </x:row>
    <x:row r="11" ht="22" customHeight="1">
      <x:c r="A11" s="2"/>
      <x:c r="B11" s="2"/>
      <x:c r="C11" s="2" t="str">
        <x:v>Caixa operacional</x:v>
      </x:c>
      <x:c r="D11" s="40" t="n">
        <x:f>IF(ISNUMBER('Dados'!D12),'Dados'!D12,"N/D")</x:f>
        <x:v>87582</x:v>
      </x:c>
      <x:c r="E11" s="40" t="n">
        <x:f>IF(ISNUMBER('Dados'!E12),'Dados'!E12,"N/D")</x:f>
        <x:v>118548</x:v>
      </x:c>
      <x:c r="F11" s="40" t="n">
        <x:f>IF(ISNUMBER('Dados'!F12),'Dados'!F12,"N/D")</x:f>
        <x:v>136162</x:v>
      </x:c>
      <x:c r="G11" s="2"/>
      <x:c r="H11" s="2"/>
      <x:c r="I11" s="2"/>
      <x:c r="J11" s="2"/>
      <x:c r="K11" s="2"/>
      <x:c r="L11" s="2"/>
      <x:c r="M11" s="2"/>
    </x:row>
    <x:row r="12" ht="22" customHeight="1">
      <x:c r="A12" s="2"/>
      <x:c r="B12" s="2"/>
      <x:c r="C12" s="2" t="str">
        <x:v>Capex pago em caixa</x:v>
      </x:c>
      <x:c r="D12" s="40" t="n">
        <x:f>IF(ISNUMBER('Dados'!D13),'Dados'!D13,"N/D")</x:f>
        <x:v>28107</x:v>
      </x:c>
      <x:c r="E12" s="40" t="n">
        <x:f>IF(ISNUMBER('Dados'!E13),'Dados'!E13,"N/D")</x:f>
        <x:v>44477</x:v>
      </x:c>
      <x:c r="F12" s="40" t="n">
        <x:f>IF(ISNUMBER('Dados'!F13),'Dados'!F13,"N/D")</x:f>
        <x:v>64551</x:v>
      </x:c>
      <x:c r="G12" s="2"/>
      <x:c r="H12" s="2"/>
      <x:c r="I12" s="2"/>
      <x:c r="J12" s="2"/>
      <x:c r="K12" s="2"/>
      <x:c r="L12" s="2"/>
      <x:c r="M12" s="2"/>
    </x:row>
    <x:row r="13" ht="22" customHeight="1">
      <x:c r="A13" s="2"/>
      <x:c r="B13" s="2"/>
      <x:c r="C13" s="30" t="str">
        <x:v>Caixa operacional menos capex</x:v>
      </x:c>
      <x:c r="D13" s="31" t="n">
        <x:f>IF(COUNT(D11:D12)=2,D11-D12,"N/D")</x:f>
        <x:v>59475</x:v>
      </x:c>
      <x:c r="E13" s="31" t="n">
        <x:f>IF(COUNT(E11:E12)=2,E11-E12,"N/D")</x:f>
        <x:v>74071</x:v>
      </x:c>
      <x:c r="F13" s="31" t="n">
        <x:f>IF(COUNT(F11:F12)=2,F11-F12,"N/D")</x:f>
        <x:v>71611</x:v>
      </x:c>
      <x:c r="G13" s="2"/>
      <x:c r="H13" s="2"/>
      <x:c r="I13" s="2"/>
      <x:c r="J13" s="2"/>
      <x:c r="K13" s="2"/>
      <x:c r="L13" s="2"/>
      <x:c r="M13" s="2"/>
    </x:row>
    <x:row r="14" ht="22" customHeight="1">
      <x:c r="A14" s="2"/>
      <x:c r="B14" s="2"/>
      <x:c r="C14" s="2" t="str">
        <x:v>Dividendos pagos</x:v>
      </x:c>
      <x:c r="D14" s="40" t="n">
        <x:f>IF(ISNUMBER('Dados'!D20),'Dados'!D20,"N/D")</x:f>
        <x:v>19800</x:v>
      </x:c>
      <x:c r="E14" s="40" t="n">
        <x:f>IF(ISNUMBER('Dados'!E20),'Dados'!E20,"N/D")</x:f>
        <x:v>21771</x:v>
      </x:c>
      <x:c r="F14" s="40" t="n">
        <x:f>IF(ISNUMBER('Dados'!F20),'Dados'!F20,"N/D")</x:f>
        <x:v>24082</x:v>
      </x:c>
      <x:c r="G14" s="2"/>
      <x:c r="H14" s="2"/>
      <x:c r="I14" s="2"/>
      <x:c r="J14" s="2"/>
      <x:c r="K14" s="2"/>
      <x:c r="L14" s="2"/>
      <x:c r="M14" s="2"/>
    </x:row>
    <x:row r="15" ht="22" customHeight="1">
      <x:c r="A15" s="2"/>
      <x:c r="B15" s="2"/>
      <x:c r="C15" s="2" t="str">
        <x:v>Recompras pagas em caixa</x:v>
      </x:c>
      <x:c r="D15" s="40" t="n">
        <x:f>IF(ISNUMBER('Dados'!D21),'Dados'!D21,"N/D")</x:f>
        <x:v>22245</x:v>
      </x:c>
      <x:c r="E15" s="40" t="n">
        <x:f>IF(ISNUMBER('Dados'!E21),'Dados'!E21,"N/D")</x:f>
        <x:v>17254</x:v>
      </x:c>
      <x:c r="F15" s="40" t="n">
        <x:f>IF(ISNUMBER('Dados'!F21),'Dados'!F21,"N/D")</x:f>
        <x:v>18420</x:v>
      </x:c>
      <x:c r="G15" s="2"/>
      <x:c r="H15" s="2"/>
      <x:c r="I15" s="2"/>
      <x:c r="J15" s="2"/>
      <x:c r="K15" s="2"/>
      <x:c r="L15" s="2"/>
      <x:c r="M15" s="2"/>
    </x:row>
    <x:row r="16" ht="22" customHeight="1">
      <x:c r="A16" s="2"/>
      <x:c r="B16" s="2"/>
      <x:c r="C16" s="30" t="str">
        <x:v>Dividendos + recompras</x:v>
      </x:c>
      <x:c r="D16" s="31" t="n">
        <x:f>IF(COUNT(D14:D15)=2,SUM(D14:D15),"N/D")</x:f>
        <x:v>42045</x:v>
      </x:c>
      <x:c r="E16" s="31" t="n">
        <x:f>IF(COUNT(E14:E15)=2,SUM(E14:E15),"N/D")</x:f>
        <x:v>39025</x:v>
      </x:c>
      <x:c r="F16" s="31" t="n">
        <x:f>IF(COUNT(F14:F15)=2,SUM(F14:F15),"N/D")</x:f>
        <x:v>42502</x:v>
      </x:c>
      <x:c r="G16" s="2"/>
      <x:c r="H16" s="2"/>
      <x:c r="I16" s="2"/>
      <x:c r="J16" s="2"/>
      <x:c r="K16" s="2"/>
      <x:c r="L16" s="2"/>
      <x:c r="M16" s="2"/>
    </x:row>
    <x:row r="17" ht="22" customHeight="1">
      <x:c r="A17" s="2"/>
      <x:c r="B17" s="2"/>
      <x:c r="C17" s="36" t="str">
        <x:v>Dividendos e recompras / lucro</x:v>
      </x:c>
      <x:c r="D17" s="37" t="n">
        <x:f>IF(AND(ISNUMBER(D16),ISNUMBER(D7),D7&gt;0),D16/D7,"N/D")</x:f>
        <x:v>0.5810450380729951</x:v>
      </x:c>
      <x:c r="E17" s="37" t="n">
        <x:f>IF(AND(ISNUMBER(E16),ISNUMBER(E7),E7&gt;0),E16/E7,"N/D")</x:f>
        <x:v>0.442781610238722</x:v>
      </x:c>
      <x:c r="F17" s="37" t="n">
        <x:f>IF(AND(ISNUMBER(F16),ISNUMBER(F7),F7&gt;0),F16/F7,"N/D")</x:f>
        <x:v>0.4173737135674444</x:v>
      </x:c>
      <x:c r="G17" s="2"/>
      <x:c r="H17" s="2"/>
      <x:c r="I17" s="2"/>
      <x:c r="J17" s="2"/>
      <x:c r="K17" s="2"/>
      <x:c r="L17" s="2"/>
      <x:c r="M17" s="2"/>
    </x:row>
    <x:row r="18" ht="22" customHeight="1">
      <x:c r="A18" s="2"/>
      <x:c r="B18" s="2"/>
      <x:c r="C18" s="2" t="str">
        <x:v>Empregados no encerramento, aproximadamente</x:v>
      </x:c>
      <x:c r="D18" s="40" t="n">
        <x:f>IF(ISNUMBER('Dados'!D27),'Dados'!D27,"N/D")</x:f>
        <x:v>221000</x:v>
      </x:c>
      <x:c r="E18" s="40" t="n">
        <x:f>IF(ISNUMBER('Dados'!E27),'Dados'!E27,"N/D")</x:f>
        <x:v>228000</x:v>
      </x:c>
      <x:c r="F18" s="40" t="n">
        <x:f>IF(ISNUMBER('Dados'!F27),'Dados'!F27,"N/D")</x:f>
        <x:v>228000</x:v>
      </x:c>
      <x:c r="G18" s="2"/>
      <x:c r="H18" s="2"/>
      <x:c r="I18" s="2"/>
      <x:c r="J18" s="2"/>
      <x:c r="K18" s="2"/>
      <x:c r="L18" s="2"/>
      <x:c r="M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2" customHeight="1">
      <x:c r="A20" s="2"/>
      <x:c r="B20" s="2"/>
      <x:c r="C20" s="2" t="str">
        <x:v>P&amp;D e benefícios de empregados já podem reduzir o lucro. Capex pago exclui novos arrendamentos não monetários.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2" customHeight="1">
      <x:c r="A21" s="2"/>
      <x:c r="B21" s="2"/>
      <x:c r="C21" s="2" t="str">
        <x:v>A série usa a apresentação do Annual Report 2025. Lucro não equivale a caixa livre de obrigações.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5" customHeight="1">
      <x:c r="A23" s="2"/>
      <x:c r="B23" s="2"/>
      <x:c r="C23" s="41" t="str">
        <x:v>Do lucro ao caixa operacional</x:v>
      </x:c>
      <x:c r="D23" s="41"/>
      <x:c r="E23" s="41"/>
      <x:c r="F23" s="41"/>
      <x:c r="G23" s="2"/>
      <x:c r="H23" s="2"/>
      <x:c r="I23" s="2"/>
      <x:c r="J23" s="2"/>
      <x:c r="K23" s="2"/>
      <x:c r="L23" s="2"/>
      <x:c r="M23" s="2"/>
    </x:row>
    <x:row r="24" ht="31" customHeight="1">
      <x:c r="A24" s="2"/>
      <x:c r="B24" s="2"/>
      <x:c r="C24" s="21" t="str">
        <x:v>Lucro líquido</x:v>
      </x:c>
      <x:c r="D24" s="33" t="n">
        <x:f>IF(ISNUMBER('Dados'!D30),'Dados'!D30,"N/D")</x:f>
        <x:v>72361</x:v>
      </x:c>
      <x:c r="E24" s="33" t="n">
        <x:f>IF(ISNUMBER('Dados'!E30),'Dados'!E30,"N/D")</x:f>
        <x:v>88136</x:v>
      </x:c>
      <x:c r="F24" s="33" t="n">
        <x:f>IF(ISNUMBER('Dados'!F30),'Dados'!F30,"N/D")</x:f>
        <x:v>101832</x:v>
      </x:c>
      <x:c r="G24" s="2"/>
      <x:c r="H24" s="15" t="str">
        <x:v>Aplicações financeiras</x:v>
      </x:c>
      <x:c r="I24" s="16" t="str">
        <x:v>FY:23</x:v>
      </x:c>
      <x:c r="J24" s="16" t="str">
        <x:v>FY:24</x:v>
      </x:c>
      <x:c r="K24" s="17" t="str">
        <x:v>FY:25</x:v>
      </x:c>
      <x:c r="L24" s="2"/>
      <x:c r="M24" s="2"/>
    </x:row>
    <x:row r="25" ht="31" customHeight="1">
      <x:c r="A25" s="2"/>
      <x:c r="B25" s="2"/>
      <x:c r="C25" s="21" t="str">
        <x:v>Depreciação, amortização e outros</x:v>
      </x:c>
      <x:c r="D25" s="33" t="n">
        <x:f>IF(ISNUMBER('Dados'!D31),'Dados'!D31,"N/D")</x:f>
        <x:v>13861</x:v>
      </x:c>
      <x:c r="E25" s="33" t="n">
        <x:f>IF(ISNUMBER('Dados'!E31),'Dados'!E31,"N/D")</x:f>
        <x:v>22287</x:v>
      </x:c>
      <x:c r="F25" s="33" t="n">
        <x:f>IF(ISNUMBER('Dados'!F31),'Dados'!F31,"N/D")</x:f>
        <x:v>34153</x:v>
      </x:c>
      <x:c r="G25" s="2"/>
      <x:c r="H25" s="2" t="str">
        <x:v>Compras de investimentos</x:v>
      </x:c>
      <x:c r="I25" s="32" t="n">
        <x:f>IF(ISNUMBER('Dados'!D48),'Dados'!D48,"N/D")</x:f>
        <x:v>-37651</x:v>
      </x:c>
      <x:c r="J25" s="32" t="n">
        <x:f>IF(ISNUMBER('Dados'!E48),'Dados'!E48,"N/D")</x:f>
        <x:v>-17732</x:v>
      </x:c>
      <x:c r="K25" s="32" t="n">
        <x:f>IF(ISNUMBER('Dados'!F48),'Dados'!F48,"N/D")</x:f>
        <x:v>-29775</x:v>
      </x:c>
      <x:c r="L25" s="2"/>
      <x:c r="M25" s="2"/>
    </x:row>
    <x:row r="26" ht="31" customHeight="1">
      <x:c r="A26" s="2"/>
      <x:c r="B26" s="2"/>
      <x:c r="C26" s="21" t="str">
        <x:v>Remuneração baseada em ações</x:v>
      </x:c>
      <x:c r="D26" s="33" t="n">
        <x:f>IF(ISNUMBER('Dados'!D32),'Dados'!D32,"N/D")</x:f>
        <x:v>9611</x:v>
      </x:c>
      <x:c r="E26" s="33" t="n">
        <x:f>IF(ISNUMBER('Dados'!E32),'Dados'!E32,"N/D")</x:f>
        <x:v>10734</x:v>
      </x:c>
      <x:c r="F26" s="33" t="n">
        <x:f>IF(ISNUMBER('Dados'!F32),'Dados'!F32,"N/D")</x:f>
        <x:v>11974</x:v>
      </x:c>
      <x:c r="G26" s="2"/>
      <x:c r="H26" s="2" t="str">
        <x:v>Vencimentos</x:v>
      </x:c>
      <x:c r="I26" s="32" t="n">
        <x:f>IF(ISNUMBER('Dados'!D49),'Dados'!D49,"N/D")</x:f>
        <x:v>33510</x:v>
      </x:c>
      <x:c r="J26" s="32" t="n">
        <x:f>IF(ISNUMBER('Dados'!E49),'Dados'!E49,"N/D")</x:f>
        <x:v>24775</x:v>
      </x:c>
      <x:c r="K26" s="32" t="n">
        <x:f>IF(ISNUMBER('Dados'!F49),'Dados'!F49,"N/D")</x:f>
        <x:v>16079</x:v>
      </x:c>
      <x:c r="L26" s="2"/>
      <x:c r="M26" s="2"/>
    </x:row>
    <x:row r="27" ht="31" customHeight="1">
      <x:c r="A27" s="2"/>
      <x:c r="B27" s="2"/>
      <x:c r="C27" s="21" t="str">
        <x:v>Perdas líquidas reconhecidas em investimentos e derivativos</x:v>
      </x:c>
      <x:c r="D27" s="33" t="n">
        <x:f>IF(ISNUMBER('Dados'!D33),'Dados'!D33,"N/D")</x:f>
        <x:v>196</x:v>
      </x:c>
      <x:c r="E27" s="33" t="n">
        <x:f>IF(ISNUMBER('Dados'!E33),'Dados'!E33,"N/D")</x:f>
        <x:v>305</x:v>
      </x:c>
      <x:c r="F27" s="33" t="n">
        <x:f>IF(ISNUMBER('Dados'!F33),'Dados'!F33,"N/D")</x:f>
        <x:v>609</x:v>
      </x:c>
      <x:c r="G27" s="2"/>
      <x:c r="H27" s="2" t="str">
        <x:v>Vendas</x:v>
      </x:c>
      <x:c r="I27" s="32" t="n">
        <x:f>IF(ISNUMBER('Dados'!D50),'Dados'!D50,"N/D")</x:f>
        <x:v>14354</x:v>
      </x:c>
      <x:c r="J27" s="32" t="n">
        <x:f>IF(ISNUMBER('Dados'!E50),'Dados'!E50,"N/D")</x:f>
        <x:v>10894</x:v>
      </x:c>
      <x:c r="K27" s="32" t="n">
        <x:f>IF(ISNUMBER('Dados'!F50),'Dados'!F50,"N/D")</x:f>
        <x:v>9309</x:v>
      </x:c>
      <x:c r="L27" s="2"/>
      <x:c r="M27" s="2"/>
    </x:row>
    <x:row r="28" ht="31" customHeight="1">
      <x:c r="A28" s="2"/>
      <x:c r="B28" s="2"/>
      <x:c r="C28" s="21" t="str">
        <x:v>Impostos diferidos</x:v>
      </x:c>
      <x:c r="D28" s="33" t="n">
        <x:f>IF(ISNUMBER('Dados'!D34),'Dados'!D34,"N/D")</x:f>
        <x:v>-6059</x:v>
      </x:c>
      <x:c r="E28" s="33" t="n">
        <x:f>IF(ISNUMBER('Dados'!E34),'Dados'!E34,"N/D")</x:f>
        <x:v>-4738</x:v>
      </x:c>
      <x:c r="F28" s="33" t="n">
        <x:f>IF(ISNUMBER('Dados'!F34),'Dados'!F34,"N/D")</x:f>
        <x:v>-7056</x:v>
      </x:c>
      <x:c r="G28" s="2"/>
      <x:c r="H28" s="47" t="str">
        <x:v>Caixa líquido dessas rubricas</x:v>
      </x:c>
      <x:c r="I28" s="48" t="n">
        <x:f>IF(COUNT(I25:I27)=3,SUM(I25:I27),"N/D")</x:f>
        <x:v>10213</x:v>
      </x:c>
      <x:c r="J28" s="48" t="n">
        <x:f>IF(COUNT(J25:J27)=3,SUM(J25:J27),"N/D")</x:f>
        <x:v>17937</x:v>
      </x:c>
      <x:c r="K28" s="48" t="n">
        <x:f>IF(COUNT(K25:K27)=3,SUM(K25:K27),"N/D")</x:f>
        <x:v>-4387</x:v>
      </x:c>
      <x:c r="L28" s="2"/>
      <x:c r="M28" s="2"/>
    </x:row>
    <x:row r="29" ht="31" customHeight="1">
      <x:c r="A29" s="2"/>
      <x:c r="B29" s="2"/>
      <x:c r="C29" s="21" t="str">
        <x:v>Variação de contas a receber</x:v>
      </x:c>
      <x:c r="D29" s="33" t="n">
        <x:f>IF(ISNUMBER('Dados'!D35),'Dados'!D35,"N/D")</x:f>
        <x:v>-4087</x:v>
      </x:c>
      <x:c r="E29" s="33" t="n">
        <x:f>IF(ISNUMBER('Dados'!E35),'Dados'!E35,"N/D")</x:f>
        <x:v>-7191</x:v>
      </x:c>
      <x:c r="F29" s="33" t="n">
        <x:f>IF(ISNUMBER('Dados'!F35),'Dados'!F35,"N/D")</x:f>
        <x:v>-10581</x:v>
      </x:c>
      <x:c r="G29" s="2"/>
      <x:c r="H29" s="2"/>
      <x:c r="I29" s="2"/>
      <x:c r="J29" s="2"/>
      <x:c r="K29" s="2"/>
      <x:c r="L29" s="2"/>
      <x:c r="M29" s="2"/>
    </x:row>
    <x:row r="30" ht="31" customHeight="1">
      <x:c r="A30" s="2"/>
      <x:c r="B30" s="2"/>
      <x:c r="C30" s="21" t="str">
        <x:v>Variação de estoques</x:v>
      </x:c>
      <x:c r="D30" s="33" t="n">
        <x:f>IF(ISNUMBER('Dados'!D36),'Dados'!D36,"N/D")</x:f>
        <x:v>1242</x:v>
      </x:c>
      <x:c r="E30" s="33" t="n">
        <x:f>IF(ISNUMBER('Dados'!E36),'Dados'!E36,"N/D")</x:f>
        <x:v>1284</x:v>
      </x:c>
      <x:c r="F30" s="33" t="n">
        <x:f>IF(ISNUMBER('Dados'!F36),'Dados'!F36,"N/D")</x:f>
        <x:v>309</x:v>
      </x:c>
      <x:c r="G30" s="2"/>
      <x:c r="H30" s="2" t="str">
        <x:v>USD milhões. Compras negativas; vendas e vencimentos positivos.</x:v>
      </x:c>
      <x:c r="I30" s="2"/>
      <x:c r="J30" s="2"/>
      <x:c r="K30" s="2"/>
      <x:c r="L30" s="2"/>
      <x:c r="M30" s="2"/>
    </x:row>
    <x:row r="31" ht="31" customHeight="1">
      <x:c r="A31" s="2"/>
      <x:c r="B31" s="2"/>
      <x:c r="C31" s="21" t="str">
        <x:v>Variação de outros ativos circulantes</x:v>
      </x:c>
      <x:c r="D31" s="33" t="n">
        <x:f>IF(ISNUMBER('Dados'!D37),'Dados'!D37,"N/D")</x:f>
        <x:v>-1991</x:v>
      </x:c>
      <x:c r="E31" s="33" t="n">
        <x:f>IF(ISNUMBER('Dados'!E37),'Dados'!E37,"N/D")</x:f>
        <x:v>-1648</x:v>
      </x:c>
      <x:c r="F31" s="33" t="n">
        <x:f>IF(ISNUMBER('Dados'!F37),'Dados'!F37,"N/D")</x:f>
        <x:v>-3044</x:v>
      </x:c>
      <x:c r="G31" s="2"/>
      <x:c r="H31" s="2" t="str">
        <x:v>Compras brutas incluem gestão de liquidez e reaplicações.</x:v>
      </x:c>
      <x:c r="I31" s="2"/>
      <x:c r="J31" s="2"/>
      <x:c r="K31" s="2"/>
      <x:c r="L31" s="2"/>
      <x:c r="M31" s="2"/>
    </x:row>
    <x:row r="32" ht="31" customHeight="1">
      <x:c r="A32" s="2"/>
      <x:c r="B32" s="2"/>
      <x:c r="C32" s="21" t="str">
        <x:v>Variação de outros ativos de longo prazo</x:v>
      </x:c>
      <x:c r="D32" s="33" t="n">
        <x:f>IF(ISNUMBER('Dados'!D38),'Dados'!D38,"N/D")</x:f>
        <x:v>-2833</x:v>
      </x:c>
      <x:c r="E32" s="33" t="n">
        <x:f>IF(ISNUMBER('Dados'!E38),'Dados'!E38,"N/D")</x:f>
        <x:v>-6817</x:v>
      </x:c>
      <x:c r="F32" s="33" t="n">
        <x:f>IF(ISNUMBER('Dados'!F38),'Dados'!F38,"N/D")</x:f>
        <x:v>-2950</x:v>
      </x:c>
      <x:c r="G32" s="2"/>
      <x:c r="H32" s="2" t="str">
        <x:v>A rubrica não revela a origem exclusiva no lucro do exercício.</x:v>
      </x:c>
      <x:c r="I32" s="2"/>
      <x:c r="J32" s="2"/>
      <x:c r="K32" s="2"/>
      <x:c r="L32" s="2"/>
      <x:c r="M32" s="2"/>
    </x:row>
    <x:row r="33" ht="31" customHeight="1">
      <x:c r="A33" s="2"/>
      <x:c r="B33" s="2"/>
      <x:c r="C33" s="21" t="str">
        <x:v>Variação de contas a pagar</x:v>
      </x:c>
      <x:c r="D33" s="33" t="n">
        <x:f>IF(ISNUMBER('Dados'!D39),'Dados'!D39,"N/D")</x:f>
        <x:v>-2721</x:v>
      </x:c>
      <x:c r="E33" s="33" t="n">
        <x:f>IF(ISNUMBER('Dados'!E39),'Dados'!E39,"N/D")</x:f>
        <x:v>3545</x:v>
      </x:c>
      <x:c r="F33" s="33" t="n">
        <x:f>IF(ISNUMBER('Dados'!F39),'Dados'!F39,"N/D")</x:f>
        <x:v>569</x:v>
      </x:c>
      <x:c r="G33" s="2"/>
      <x:c r="H33" s="2"/>
      <x:c r="I33" s="2"/>
      <x:c r="J33" s="2"/>
      <x:c r="K33" s="2"/>
      <x:c r="L33" s="2"/>
      <x:c r="M33" s="2"/>
    </x:row>
    <x:row r="34" ht="31" customHeight="1">
      <x:c r="A34" s="2"/>
      <x:c r="B34" s="2"/>
      <x:c r="C34" s="21" t="str">
        <x:v>Variação de receita diferida</x:v>
      </x:c>
      <x:c r="D34" s="33" t="n">
        <x:f>IF(ISNUMBER('Dados'!D40),'Dados'!D40,"N/D")</x:f>
        <x:v>5535</x:v>
      </x:c>
      <x:c r="E34" s="33" t="n">
        <x:f>IF(ISNUMBER('Dados'!E40),'Dados'!E40,"N/D")</x:f>
        <x:v>5348</x:v>
      </x:c>
      <x:c r="F34" s="33" t="n">
        <x:f>IF(ISNUMBER('Dados'!F40),'Dados'!F40,"N/D")</x:f>
        <x:v>5438</x:v>
      </x:c>
      <x:c r="G34" s="2"/>
      <x:c r="H34" s="2"/>
      <x:c r="I34" s="2"/>
      <x:c r="J34" s="2"/>
      <x:c r="K34" s="2"/>
      <x:c r="L34" s="2"/>
      <x:c r="M34" s="2"/>
    </x:row>
    <x:row r="35" ht="31" customHeight="1">
      <x:c r="A35" s="2"/>
      <x:c r="B35" s="2"/>
      <x:c r="C35" s="21" t="str">
        <x:v>Variação de impostos sobre a renda</x:v>
      </x:c>
      <x:c r="D35" s="33" t="n">
        <x:f>IF(ISNUMBER('Dados'!D41),'Dados'!D41,"N/D")</x:f>
        <x:v>-358</x:v>
      </x:c>
      <x:c r="E35" s="33" t="n">
        <x:f>IF(ISNUMBER('Dados'!E41),'Dados'!E41,"N/D")</x:f>
        <x:v>1687</x:v>
      </x:c>
      <x:c r="F35" s="33" t="n">
        <x:f>IF(ISNUMBER('Dados'!F41),'Dados'!F41,"N/D")</x:f>
        <x:v>-38</x:v>
      </x:c>
      <x:c r="G35" s="2"/>
      <x:c r="H35" s="15" t="str">
        <x:v>Recompras. Escopo</x:v>
      </x:c>
      <x:c r="I35" s="16" t="str">
        <x:v>FY:23</x:v>
      </x:c>
      <x:c r="J35" s="16" t="str">
        <x:v>FY:24</x:v>
      </x:c>
      <x:c r="K35" s="17" t="str">
        <x:v>FY:25</x:v>
      </x:c>
      <x:c r="L35" s="2"/>
      <x:c r="M35" s="2"/>
    </x:row>
    <x:row r="36" ht="31" customHeight="1">
      <x:c r="A36" s="2"/>
      <x:c r="B36" s="2"/>
      <x:c r="C36" s="21" t="str">
        <x:v>Variação de outros passivos circulantes</x:v>
      </x:c>
      <x:c r="D36" s="33" t="n">
        <x:f>IF(ISNUMBER('Dados'!D42),'Dados'!D42,"N/D")</x:f>
        <x:v>2272</x:v>
      </x:c>
      <x:c r="E36" s="33" t="n">
        <x:f>IF(ISNUMBER('Dados'!E42),'Dados'!E42,"N/D")</x:f>
        <x:v>4867</x:v>
      </x:c>
      <x:c r="F36" s="33" t="n">
        <x:f>IF(ISNUMBER('Dados'!F42),'Dados'!F42,"N/D")</x:f>
        <x:v>5922</x:v>
      </x:c>
      <x:c r="G36" s="2"/>
      <x:c r="H36" s="2" t="str">
        <x:v>Caixa pago total</x:v>
      </x:c>
      <x:c r="I36" s="32" t="n">
        <x:f>IF(ISNUMBER('Dados'!D21),'Dados'!D21,"N/D")</x:f>
        <x:v>22245</x:v>
      </x:c>
      <x:c r="J36" s="32" t="n">
        <x:f>IF(ISNUMBER('Dados'!E21),'Dados'!E21,"N/D")</x:f>
        <x:v>17254</x:v>
      </x:c>
      <x:c r="K36" s="32" t="n">
        <x:f>IF(ISNUMBER('Dados'!F21),'Dados'!F21,"N/D")</x:f>
        <x:v>18420</x:v>
      </x:c>
      <x:c r="L36" s="2"/>
      <x:c r="M36" s="2"/>
    </x:row>
    <x:row r="37" ht="31" customHeight="1">
      <x:c r="A37" s="2"/>
      <x:c r="B37" s="2"/>
      <x:c r="C37" s="21" t="str">
        <x:v>Variação de outros passivos de longo prazo</x:v>
      </x:c>
      <x:c r="D37" s="33" t="n">
        <x:f>IF(ISNUMBER('Dados'!D43),'Dados'!D43,"N/D")</x:f>
        <x:v>553</x:v>
      </x:c>
      <x:c r="E37" s="33" t="n">
        <x:f>IF(ISNUMBER('Dados'!E43),'Dados'!E43,"N/D")</x:f>
        <x:v>749</x:v>
      </x:c>
      <x:c r="F37" s="33" t="n">
        <x:f>IF(ISNUMBER('Dados'!F43),'Dados'!F43,"N/D")</x:f>
        <x:v>-975</x:v>
      </x:c>
      <x:c r="G37" s="2"/>
      <x:c r="H37" s="2" t="str">
        <x:v>Programas autorizados</x:v>
      </x:c>
      <x:c r="I37" s="32" t="n">
        <x:f>IF(ISNUMBER('Dados'!D22),'Dados'!D22,"N/D")</x:f>
        <x:v>18400</x:v>
      </x:c>
      <x:c r="J37" s="32" t="n">
        <x:f>IF(ISNUMBER('Dados'!E22),'Dados'!E22,"N/D")</x:f>
        <x:v>11960</x:v>
      </x:c>
      <x:c r="K37" s="32" t="n">
        <x:f>IF(ISNUMBER('Dados'!F22),'Dados'!F22,"N/D")</x:f>
        <x:v>13000</x:v>
      </x:c>
      <x:c r="L37" s="2"/>
      <x:c r="M37" s="2"/>
    </x:row>
    <x:row r="38" ht="22" customHeight="1">
      <x:c r="A38" s="2"/>
      <x:c r="B38" s="2"/>
      <x:c r="C38" s="30" t="str">
        <x:v>Caixa operacional calculado</x:v>
      </x:c>
      <x:c r="D38" s="31" t="n">
        <x:f>IF(COUNT(D24:D37)=14,SUM(D24:D37),"N/D")</x:f>
        <x:v>87582</x:v>
      </x:c>
      <x:c r="E38" s="31" t="n">
        <x:f>IF(COUNT(E24:E37)=14,SUM(E24:E37),"N/D")</x:f>
        <x:v>118548</x:v>
      </x:c>
      <x:c r="F38" s="31" t="n">
        <x:f>IF(COUNT(F24:F37)=14,SUM(F24:F37),"N/D")</x:f>
        <x:v>136162</x:v>
      </x:c>
      <x:c r="G38" s="2"/>
      <x:c r="H38" s="2" t="str">
        <x:v>Diferença entre medidas</x:v>
      </x:c>
      <x:c r="I38" s="19" t="n">
        <x:f>IF(COUNT(I36:I37)=2,I36-I37,"N/D")</x:f>
        <x:v>3845</x:v>
      </x:c>
      <x:c r="J38" s="19" t="n">
        <x:f>IF(COUNT(J36:J37)=2,J36-J37,"N/D")</x:f>
        <x:v>5294</x:v>
      </x:c>
      <x:c r="K38" s="19" t="n">
        <x:f>IF(COUNT(K36:K37)=2,K36-K37,"N/D")</x:f>
        <x:v>5420</x:v>
      </x:c>
      <x:c r="L38" s="2"/>
      <x:c r="M38" s="2"/>
    </x:row>
    <x:row r="39" ht="22" customHeight="1">
      <x:c r="A39" s="2"/>
      <x:c r="B39" s="2"/>
      <x:c r="C39" s="2" t="str">
        <x:v>Caixa operacional divulgado</x:v>
      </x:c>
      <x:c r="D39" s="33" t="n">
        <x:f>IF(ISNUMBER('Dados'!D12),'Dados'!D12,"N/D")</x:f>
        <x:v>87582</x:v>
      </x:c>
      <x:c r="E39" s="33" t="n">
        <x:f>IF(ISNUMBER('Dados'!E12),'Dados'!E12,"N/D")</x:f>
        <x:v>118548</x:v>
      </x:c>
      <x:c r="F39" s="33" t="n">
        <x:f>IF(ISNUMBER('Dados'!F12),'Dados'!F12,"N/D")</x:f>
        <x:v>136162</x:v>
      </x:c>
      <x:c r="G39" s="2"/>
      <x:c r="H39" s="2" t="str">
        <x:v>Retenções fiscais arredondadas</x:v>
      </x:c>
      <x:c r="I39" s="32" t="n">
        <x:f>IF(ISNUMBER('Dados'!D23),'Dados'!D23,"N/D")</x:f>
        <x:v>3800</x:v>
      </x:c>
      <x:c r="J39" s="32" t="n">
        <x:f>IF(ISNUMBER('Dados'!E23),'Dados'!E23,"N/D")</x:f>
        <x:v>5300</x:v>
      </x:c>
      <x:c r="K39" s="32" t="n">
        <x:f>IF(ISNUMBER('Dados'!F23),'Dados'!F23,"N/D")</x:f>
        <x:v>5400</x:v>
      </x:c>
      <x:c r="L39" s="2"/>
      <x:c r="M39" s="2"/>
    </x:row>
    <x:row r="40" ht="22" customHeight="1">
      <x:c r="A40" s="2"/>
      <x:c r="B40" s="2"/>
      <x:c r="C40" s="2" t="str">
        <x:v>Diferença da ponte operacional</x:v>
      </x:c>
      <x:c r="D40" s="42" t="n">
        <x:f>IF(COUNT(D38:D39)=2,D38-D39,"N/D")</x:f>
        <x:v>0</x:v>
      </x:c>
      <x:c r="E40" s="42" t="n">
        <x:f>IF(COUNT(E38:E39)=2,E38-E39,"N/D")</x:f>
        <x:v>0</x:v>
      </x:c>
      <x:c r="F40" s="42" t="n">
        <x:f>IF(COUNT(F38:F39)=2,F38-F39,"N/D")</x:f>
        <x:v>0</x:v>
      </x:c>
      <x:c r="G40" s="2"/>
      <x:c r="H40" s="2"/>
      <x:c r="I40" s="2"/>
      <x:c r="J40" s="2"/>
      <x:c r="K40" s="2"/>
      <x:c r="L40" s="2"/>
      <x:c r="M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 t="str">
        <x:v>A nota de retenções é arredondada. A diferença não é erro comprovado.</x:v>
      </x:c>
      <x:c r="I41" s="2"/>
      <x:c r="J41" s="2"/>
      <x:c r="K41" s="2"/>
      <x:c r="L41" s="2"/>
      <x:c r="M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5" customHeight="1">
      <x:c r="A43" s="2"/>
      <x:c r="B43" s="2"/>
      <x:c r="C43" s="41" t="str">
        <x:v>Conciliação do saldo de caixa</x:v>
      </x:c>
      <x:c r="D43" s="41"/>
      <x:c r="E43" s="41"/>
      <x:c r="F43" s="41"/>
      <x:c r="G43" s="2"/>
      <x:c r="H43" s="49" t="str">
        <x:v>Apresentação posterior de FY2025</x:v>
      </x:c>
      <x:c r="I43" s="2"/>
      <x:c r="J43" s="2"/>
      <x:c r="K43" s="2"/>
      <x:c r="L43" s="2"/>
      <x:c r="M43" s="2"/>
    </x:row>
    <x:row r="44" ht="22" customHeight="1">
      <x:c r="A44" s="2"/>
      <x:c r="B44" s="2"/>
      <x:c r="C44" s="2" t="str">
        <x:v>Caixa e equivalentes no início</x:v>
      </x:c>
      <x:c r="D44" s="33" t="n">
        <x:f>IF(ISNUMBER('Dados'!D18),'Dados'!D18,"N/D")</x:f>
        <x:v>13931</x:v>
      </x:c>
      <x:c r="E44" s="40" t="n">
        <x:f>D50</x:f>
        <x:v>34704</x:v>
      </x:c>
      <x:c r="F44" s="40" t="n">
        <x:f>E50</x:f>
        <x:v>18315</x:v>
      </x:c>
      <x:c r="G44" s="2"/>
      <x:c r="H44" s="2" t="str">
        <x:v>O release FY2026 reclassificou USD 4.720 milhões entre</x:v>
      </x:c>
      <x:c r="I44" s="2"/>
      <x:c r="J44" s="2"/>
      <x:c r="K44" s="2"/>
      <x:c r="L44" s="2"/>
      <x:c r="M44" s="2"/>
    </x:row>
    <x:row r="45" ht="22" customHeight="1">
      <x:c r="A45" s="2"/>
      <x:c r="B45" s="2"/>
      <x:c r="C45" s="2" t="str">
        <x:v>Caixa das operações</x:v>
      </x:c>
      <x:c r="D45" s="40" t="n">
        <x:f>D38</x:f>
        <x:v>87582</x:v>
      </x:c>
      <x:c r="E45" s="40" t="n">
        <x:f>E38</x:f>
        <x:v>118548</x:v>
      </x:c>
      <x:c r="F45" s="40" t="n">
        <x:f>F38</x:f>
        <x:v>136162</x:v>
      </x:c>
      <x:c r="G45" s="2"/>
      <x:c r="H45" s="2" t="str">
        <x:v>depreciação/outros e perdas em investimentos. O total</x:v>
      </x:c>
      <x:c r="I45" s="2"/>
      <x:c r="J45" s="2"/>
      <x:c r="K45" s="2"/>
      <x:c r="L45" s="2"/>
      <x:c r="M45" s="2"/>
    </x:row>
    <x:row r="46" ht="22" customHeight="1">
      <x:c r="A46" s="2"/>
      <x:c r="B46" s="2"/>
      <x:c r="C46" s="2" t="str">
        <x:v>Caixa de investimentos</x:v>
      </x:c>
      <x:c r="D46" s="33" t="n">
        <x:f>IF(ISNUMBER('Dados'!D14),'Dados'!D14,"N/D")</x:f>
        <x:v>-22680</x:v>
      </x:c>
      <x:c r="E46" s="33" t="n">
        <x:f>IF(ISNUMBER('Dados'!E14),'Dados'!E14,"N/D")</x:f>
        <x:v>-96970</x:v>
      </x:c>
      <x:c r="F46" s="33" t="n">
        <x:f>IF(ISNUMBER('Dados'!F14),'Dados'!F14,"N/D")</x:f>
        <x:v>-72599</x:v>
      </x:c>
      <x:c r="G46" s="2"/>
      <x:c r="H46" s="2" t="str">
        <x:v>de caixa operacional permanece USD 136.162 milhões.</x:v>
      </x:c>
      <x:c r="I46" s="2"/>
      <x:c r="J46" s="2"/>
      <x:c r="K46" s="2"/>
      <x:c r="L46" s="2"/>
      <x:c r="M46" s="2"/>
    </x:row>
    <x:row r="47" ht="22" customHeight="1">
      <x:c r="A47" s="2"/>
      <x:c r="B47" s="2"/>
      <x:c r="C47" s="2" t="str">
        <x:v>Caixa de financiamento</x:v>
      </x:c>
      <x:c r="D47" s="33" t="n">
        <x:f>IF(ISNUMBER('Dados'!D15),'Dados'!D15,"N/D")</x:f>
        <x:v>-43935</x:v>
      </x:c>
      <x:c r="E47" s="33" t="n">
        <x:f>IF(ISNUMBER('Dados'!E15),'Dados'!E15,"N/D")</x:f>
        <x:v>-37757</x:v>
      </x:c>
      <x:c r="F47" s="33" t="n">
        <x:f>IF(ISNUMBER('Dados'!F15),'Dados'!F15,"N/D")</x:f>
        <x:v>-51699</x:v>
      </x:c>
      <x:c r="G47" s="2"/>
      <x:c r="H47" s="2" t="str">
        <x:v>Esta ponte mantém integralmente a apresentação AR2025.</x:v>
      </x:c>
      <x:c r="I47" s="2"/>
      <x:c r="J47" s="2"/>
      <x:c r="K47" s="2"/>
      <x:c r="L47" s="2"/>
      <x:c r="M47" s="2"/>
    </x:row>
    <x:row r="48" ht="22" customHeight="1">
      <x:c r="A48" s="2"/>
      <x:c r="B48" s="2"/>
      <x:c r="C48" s="2" t="str">
        <x:v>Efeito cambial</x:v>
      </x:c>
      <x:c r="D48" s="33" t="n">
        <x:f>IF(ISNUMBER('Dados'!D16),'Dados'!D16,"N/D")</x:f>
        <x:v>-194</x:v>
      </x:c>
      <x:c r="E48" s="33" t="n">
        <x:f>IF(ISNUMBER('Dados'!E16),'Dados'!E16,"N/D")</x:f>
        <x:v>-210</x:v>
      </x:c>
      <x:c r="F48" s="33" t="n">
        <x:f>IF(ISNUMBER('Dados'!F16),'Dados'!F16,"N/D")</x:f>
        <x:v>63</x:v>
      </x:c>
      <x:c r="G48" s="2"/>
      <x:c r="H48" s="2"/>
      <x:c r="I48" s="2"/>
      <x:c r="J48" s="2"/>
      <x:c r="K48" s="2"/>
      <x:c r="L48" s="2"/>
      <x:c r="M48" s="2"/>
    </x:row>
    <x:row r="49" ht="22" customHeight="1">
      <x:c r="A49" s="2"/>
      <x:c r="B49" s="2"/>
      <x:c r="C49" s="2" t="str">
        <x:v>Variação de caixa calculada</x:v>
      </x:c>
      <x:c r="D49" s="40" t="n">
        <x:f>IF(COUNT(D45:D48)=4,SUM(D45:D48),"N/D")</x:f>
        <x:v>20773</x:v>
      </x:c>
      <x:c r="E49" s="40" t="n">
        <x:f>IF(COUNT(E45:E48)=4,SUM(E45:E48),"N/D")</x:f>
        <x:v>-16389</x:v>
      </x:c>
      <x:c r="F49" s="40" t="n">
        <x:f>IF(COUNT(F45:F48)=4,SUM(F45:F48),"N/D")</x:f>
        <x:v>11927</x:v>
      </x:c>
      <x:c r="G49" s="2"/>
      <x:c r="H49" s="2"/>
      <x:c r="I49" s="2"/>
      <x:c r="J49" s="2"/>
      <x:c r="K49" s="2"/>
      <x:c r="L49" s="2"/>
      <x:c r="M49" s="2"/>
    </x:row>
    <x:row r="50" ht="22" customHeight="1">
      <x:c r="A50" s="2"/>
      <x:c r="B50" s="2"/>
      <x:c r="C50" s="30" t="str">
        <x:v>Caixa final calculado</x:v>
      </x:c>
      <x:c r="D50" s="31" t="n">
        <x:f>IF(COUNT(D44,D49)=2,SUM(D44,D49),"N/D")</x:f>
        <x:v>34704</x:v>
      </x:c>
      <x:c r="E50" s="31" t="n">
        <x:f>IF(COUNT(E44,E49)=2,SUM(E44,E49),"N/D")</x:f>
        <x:v>18315</x:v>
      </x:c>
      <x:c r="F50" s="31" t="n">
        <x:f>IF(COUNT(F44,F49)=2,SUM(F44,F49),"N/D")</x:f>
        <x:v>30242</x:v>
      </x:c>
      <x:c r="G50" s="2"/>
      <x:c r="H50" s="49" t="str">
        <x:v>Escopo da opinião financeira</x:v>
      </x:c>
      <x:c r="I50" s="2"/>
      <x:c r="J50" s="2"/>
      <x:c r="K50" s="2"/>
      <x:c r="L50" s="2"/>
      <x:c r="M50" s="2"/>
    </x:row>
    <x:row r="51" ht="22" customHeight="1">
      <x:c r="A51" s="2"/>
      <x:c r="B51" s="2"/>
      <x:c r="C51" s="2" t="str">
        <x:v>Caixa final divulgado</x:v>
      </x:c>
      <x:c r="D51" s="33" t="n">
        <x:f>IF(ISNUMBER('Dados'!D19),'Dados'!D19,"N/D")</x:f>
        <x:v>34704</x:v>
      </x:c>
      <x:c r="E51" s="33" t="n">
        <x:f>IF(ISNUMBER('Dados'!E19),'Dados'!E19,"N/D")</x:f>
        <x:v>18315</x:v>
      </x:c>
      <x:c r="F51" s="33" t="n">
        <x:f>IF(ISNUMBER('Dados'!F19),'Dados'!F19,"N/D")</x:f>
        <x:v>30242</x:v>
      </x:c>
      <x:c r="G51" s="2"/>
      <x:c r="H51" s="2" t="str">
        <x:v>Deloitte. Demonstrações e notas auditadas no AR2025.</x:v>
      </x:c>
      <x:c r="I51" s="2"/>
      <x:c r="J51" s="2"/>
      <x:c r="K51" s="2"/>
      <x:c r="L51" s="2"/>
      <x:c r="M51" s="2"/>
    </x:row>
    <x:row r="52" ht="22" customHeight="1">
      <x:c r="A52" s="2"/>
      <x:c r="B52" s="2"/>
      <x:c r="C52" s="2" t="str">
        <x:v>Diferença do saldo final</x:v>
      </x:c>
      <x:c r="D52" s="42" t="n">
        <x:f>IF(COUNT(D50:D51)=2,D50-D51,"N/D")</x:f>
        <x:v>0</x:v>
      </x:c>
      <x:c r="E52" s="42" t="n">
        <x:f>IF(COUNT(E50:E51)=2,E50-E51,"N/D")</x:f>
        <x:v>0</x:v>
      </x:c>
      <x:c r="F52" s="42" t="n">
        <x:f>IF(COUNT(F50:F51)=2,F50-F51,"N/D")</x:f>
        <x:v>0</x:v>
      </x:c>
      <x:c r="G52" s="2"/>
      <x:c r="H52" s="2" t="str">
        <x:v>A opinião não certifica o modelo ÍNDOLE ou toda narrativa social.</x:v>
      </x:c>
      <x:c r="I52" s="2"/>
      <x:c r="J52" s="2"/>
      <x:c r="K52" s="2"/>
      <x:c r="L52" s="2"/>
      <x:c r="M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30" customHeight="1">
      <x:c r="A55" s="2"/>
      <x:c r="B55" s="2"/>
      <x:c r="C55" s="41" t="str">
        <x:v>Cenário proposto 30/30/30/10. Não observado</x:v>
      </x:c>
      <x:c r="D55" s="41"/>
      <x:c r="E55" s="41"/>
      <x:c r="F55" s="41"/>
      <x:c r="G55" s="2"/>
      <x:c r="H55" s="15" t="str">
        <x:v>Ano do gráfico</x:v>
      </x:c>
      <x:c r="I55" s="16" t="str">
        <x:v>Lucro líquido</x:v>
      </x:c>
      <x:c r="J55" s="17" t="str">
        <x:v>Caixa operacional</x:v>
      </x:c>
      <x:c r="K55" s="2"/>
      <x:c r="L55" s="2"/>
      <x:c r="M55" s="2"/>
    </x:row>
    <x:row r="56" ht="22" customHeight="1">
      <x:c r="A56" s="2"/>
      <x:c r="B56" s="2"/>
      <x:c r="C56" s="2" t="str">
        <x:v>Lucro de referência FY2025 (USD milhões)</x:v>
      </x:c>
      <x:c r="D56" s="2"/>
      <x:c r="E56" s="2"/>
      <x:c r="F56" s="38" t="n">
        <x:f>F7</x:f>
        <x:v>101832</x:v>
      </x:c>
      <x:c r="G56" s="2"/>
      <x:c r="H56" s="2" t="str">
        <x:v>FY2023</x:v>
      </x:c>
      <x:c r="I56" s="19" t="n">
        <x:f>D7</x:f>
        <x:v>72361</x:v>
      </x:c>
      <x:c r="J56" s="19" t="n">
        <x:f>D11</x:f>
        <x:v>87582</x:v>
      </x:c>
      <x:c r="K56" s="2"/>
      <x:c r="L56" s="2"/>
      <x:c r="M56" s="2"/>
    </x:row>
    <x:row r="57" ht="22" customHeight="1">
      <x:c r="A57" s="2"/>
      <x:c r="B57" s="2"/>
      <x:c r="C57" s="2" t="str">
        <x:v>Hipótese sobre lucro positivo. Não é obrigação vigente, destinação comprovada ou caixa disponível.</x:v>
      </x:c>
      <x:c r="D57" s="2"/>
      <x:c r="E57" s="2"/>
      <x:c r="F57" s="2"/>
      <x:c r="G57" s="2"/>
      <x:c r="H57" s="2" t="str">
        <x:v>FY2024</x:v>
      </x:c>
      <x:c r="I57" s="19" t="n">
        <x:f>E7</x:f>
        <x:v>88136</x:v>
      </x:c>
      <x:c r="J57" s="19" t="n">
        <x:f>E11</x:f>
        <x:v>118548</x:v>
      </x:c>
      <x:c r="K57" s="2"/>
      <x:c r="L57" s="2"/>
      <x:c r="M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 t="str">
        <x:v>FY2025</x:v>
      </x:c>
      <x:c r="I58" s="19" t="n">
        <x:f>F7</x:f>
        <x:v>101832</x:v>
      </x:c>
      <x:c r="J58" s="19" t="n">
        <x:f>F11</x:f>
        <x:v>136162</x:v>
      </x:c>
      <x:c r="K58" s="2"/>
      <x:c r="L58" s="2"/>
      <x:c r="M58" s="2"/>
    </x:row>
    <x:row r="59" ht="30" customHeight="1">
      <x:c r="A59" s="2"/>
      <x:c r="B59" s="2"/>
      <x:c r="C59" s="15" t="str">
        <x:v>Área proposta</x:v>
      </x:c>
      <x:c r="D59" s="16" t="str">
        <x:v>Fração editável</x:v>
      </x:c>
      <x:c r="E59" s="16" t="str">
        <x:v>USD milhões</x:v>
      </x:c>
      <x:c r="F59" s="17" t="str">
        <x:v>Natureza</x:v>
      </x:c>
      <x:c r="G59" s="2"/>
      <x:c r="H59" s="2"/>
      <x:c r="I59" s="2"/>
      <x:c r="J59" s="2"/>
      <x:c r="K59" s="2"/>
      <x:c r="L59" s="2"/>
      <x:c r="M59" s="2"/>
    </x:row>
    <x:row r="60" ht="22" customHeight="1">
      <x:c r="A60" s="2"/>
      <x:c r="B60" s="2"/>
      <x:c r="C60" s="2" t="str">
        <x:v>Produto e melhoria</x:v>
      </x:c>
      <x:c r="D60" s="44" t="n">
        <x:v>0.3</x:v>
      </x:c>
      <x:c r="E60" s="45" t="n">
        <x:f>IF(AND(ISNUMBER($F$56),$F$56&gt;0,ISNUMBER(D60)),D60*$F$56,"N/D")</x:f>
        <x:v>30549.6</x:v>
      </x:c>
      <x:c r="F60" s="46" t="str">
        <x:v>Hipotético</x:v>
      </x:c>
      <x:c r="G60" s="2"/>
      <x:c r="H60" s="2"/>
      <x:c r="I60" s="2"/>
      <x:c r="J60" s="2"/>
      <x:c r="K60" s="2"/>
      <x:c r="L60" s="2"/>
      <x:c r="M60" s="2"/>
    </x:row>
    <x:row r="61" ht="22" customHeight="1">
      <x:c r="A61" s="2"/>
      <x:c r="B61" s="2"/>
      <x:c r="C61" s="2" t="str">
        <x:v>Trabalhadores e humanização</x:v>
      </x:c>
      <x:c r="D61" s="44" t="n">
        <x:v>0.3</x:v>
      </x:c>
      <x:c r="E61" s="45" t="n">
        <x:f>IF(AND(ISNUMBER($F$56),$F$56&gt;0,ISNUMBER(D61)),D61*$F$56,"N/D")</x:f>
        <x:v>30549.6</x:v>
      </x:c>
      <x:c r="F61" s="46" t="str">
        <x:v>Hipotético</x:v>
      </x:c>
      <x:c r="G61" s="2"/>
      <x:c r="H61" s="2"/>
      <x:c r="I61" s="2"/>
      <x:c r="J61" s="2"/>
      <x:c r="K61" s="2"/>
      <x:c r="L61" s="2"/>
      <x:c r="M61" s="2"/>
    </x:row>
    <x:row r="62" ht="22" customHeight="1">
      <x:c r="A62" s="2"/>
      <x:c r="B62" s="2"/>
      <x:c r="C62" s="2" t="str">
        <x:v>Social, ambiente e reparação</x:v>
      </x:c>
      <x:c r="D62" s="44" t="n">
        <x:v>0.3</x:v>
      </x:c>
      <x:c r="E62" s="45" t="n">
        <x:f>IF(AND(ISNUMBER($F$56),$F$56&gt;0,ISNUMBER(D62)),D62*$F$56,"N/D")</x:f>
        <x:v>30549.6</x:v>
      </x:c>
      <x:c r="F62" s="46" t="str">
        <x:v>Hipotético</x:v>
      </x:c>
      <x:c r="G62" s="2"/>
      <x:c r="H62" s="2"/>
      <x:c r="I62" s="2"/>
      <x:c r="J62" s="2"/>
      <x:c r="K62" s="2"/>
      <x:c r="L62" s="2"/>
      <x:c r="M62" s="2"/>
    </x:row>
    <x:row r="63" ht="22" customHeight="1">
      <x:c r="A63" s="2"/>
      <x:c r="B63" s="2"/>
      <x:c r="C63" s="2" t="str">
        <x:v>Reserva</x:v>
      </x:c>
      <x:c r="D63" s="44" t="n">
        <x:v>0.1</x:v>
      </x:c>
      <x:c r="E63" s="45" t="n">
        <x:f>IF(AND(ISNUMBER($F$56),$F$56&gt;0,ISNUMBER(D63)),D63*$F$56,"N/D")</x:f>
        <x:v>10183.2</x:v>
      </x:c>
      <x:c r="F63" s="46" t="str">
        <x:v>Hipotético</x:v>
      </x:c>
      <x:c r="G63" s="2"/>
      <x:c r="H63" s="2"/>
      <x:c r="I63" s="2"/>
      <x:c r="J63" s="2"/>
      <x:c r="K63" s="2"/>
      <x:c r="L63" s="2"/>
      <x:c r="M63" s="2"/>
    </x:row>
    <x:row r="64" ht="22" customHeight="1">
      <x:c r="A64" s="2"/>
      <x:c r="B64" s="2"/>
      <x:c r="C64" s="2" t="str">
        <x:v>Total do cenário</x:v>
      </x:c>
      <x:c r="D64" s="34" t="n">
        <x:f>IF(COUNT(D60:D63)=4,SUM(D60:D63),"N/D")</x:f>
        <x:v>0.9999999999999999</x:v>
      </x:c>
      <x:c r="E64" s="45" t="n">
        <x:f>IF(COUNT(E60:E63)=4,SUM(E60:E63),"N/D")</x:f>
        <x:v>101831.99999999999</x:v>
      </x:c>
      <x:c r="F64" s="2"/>
      <x:c r="G64" s="2"/>
      <x:c r="H64" s="2"/>
      <x:c r="I64" s="2"/>
      <x:c r="J64" s="2"/>
      <x:c r="K64" s="2"/>
      <x:c r="L64" s="2"/>
      <x:c r="M64" s="2"/>
    </x:row>
    <x:row r="65" ht="22" customHeight="1">
      <x:c r="A65" s="2"/>
      <x:c r="B65" s="2"/>
      <x:c r="C65" s="2" t="str">
        <x:v>Diferença para o lucro de referência</x:v>
      </x:c>
      <x:c r="D65" s="2"/>
      <x:c r="E65" s="42" t="n">
        <x:f>IF(COUNT(E64,F56)=2,ROUND(E64-F56,6),"N/D")</x:f>
        <x:v>0</x:v>
      </x:c>
      <x:c r="F65" s="2"/>
      <x:c r="G65" s="2"/>
      <x:c r="H65" s="2"/>
      <x:c r="I65" s="2"/>
      <x:c r="J65" s="2"/>
      <x:c r="K65" s="2"/>
      <x:c r="L65" s="2"/>
      <x:c r="M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 ht="22" customHeight="1">
      <x:c r="A67" s="2"/>
      <x:c r="B67" s="2"/>
      <x:c r="C67" s="2" t="str">
        <x:v>Azul: entrada numérica. Verde: vínculo entre abas. Amarelo: fração editável. N/D: dado ou condição indisponível.</x:v>
      </x:c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 ht="22" customHeight="1">
      <x:c r="A68" s="2"/>
      <x:c r="B68" s="2"/>
      <x:c r="C68" s="2" t="str">
        <x:v>Conferência documental e aritmética do projeto. Não constitui auditoria profissional ou certificação de impacto.</x:v>
      </x:c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</x:sheetData>
  <x:conditionalFormatting sqref="D40:F40">
    <x:cfRule type="cellIs" dxfId="0" priority="1" operator="notBetween">
      <x:formula>-0.01</x:formula>
      <x:formula>0.01</x:formula>
    </x:cfRule>
  </x:conditionalFormatting>
  <x:conditionalFormatting sqref="D52:F52">
    <x:cfRule type="cellIs" dxfId="1" priority="2" operator="notBetween">
      <x:formula>-0.01</x:formula>
      <x:formula>0.01</x:formula>
    </x:cfRule>
  </x:conditionalFormatting>
  <x:conditionalFormatting sqref="E65:E65">
    <x:cfRule type="cellIs" dxfId="2" priority="3" operator="notBetween">
      <x:formula>-0.01</x:formula>
      <x:formula>0.01</x:formula>
    </x:cfRule>
  </x:conditionalFormatting>
  <x:dataValidations count="1">
    <x:dataValidation type="decimal" operator="between" sqref="D60:D63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4a7ca9afab414110"/>
</x:worksheet>
</file>

<file path=xl/worksheets/sheet2.xml><?xml version="1.0" encoding="utf-8"?>
<x:worksheet xmlns:x="http://schemas.openxmlformats.org/spreadsheetml/2006/main">
  <x:sheetPr>
    <x:tabColor rgb="FF54846A"/>
  </x:sheetPr>
  <x:sheetViews>
    <x:sheetView showGridLines="0" workbookViewId="0">
      <x:pane xSplit="3" ySplit="15" topLeftCell="D1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7" hidden="0" customWidth="1"/>
    <x:col min="4" max="4" width="18" hidden="0" customWidth="1"/>
    <x:col min="5" max="5" width="17" hidden="0" customWidth="1"/>
    <x:col min="6" max="6" width="28" hidden="0" customWidth="1"/>
    <x:col min="7" max="7" width="25" hidden="0" customWidth="1"/>
    <x:col min="8" max="8" width="31" hidden="0" customWidth="1"/>
    <x:col min="9" max="9" width="66" hidden="0" customWidth="1"/>
    <x:col min="10" max="10" width="3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2"/>
      <x:c r="B2" s="2"/>
      <x:c r="C2" s="4" t="str">
        <x:v>Microsoft. Impacto e evidências</x:v>
      </x:c>
      <x:c r="D2" s="5"/>
      <x:c r="E2" s="5"/>
      <x:c r="F2" s="5"/>
      <x:c r="G2" s="5"/>
      <x:c r="H2" s="5"/>
      <x:c r="I2" s="5"/>
      <x:c r="J2" s="5"/>
    </x:row>
    <x:row r="3" ht="22" customHeight="1">
      <x:c r="A3" s="2"/>
      <x:c r="B3" s="2"/>
      <x:c r="C3" s="6" t="str">
        <x:v>Ano-base FY2025. Períodos diferentes permanecem separados. Não há total financeiro socioambiental conciliado.</x:v>
      </x:c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2"/>
      <x:c r="B5" s="2"/>
      <x:c r="C5" s="15" t="str">
        <x:v>Indicador físico</x:v>
      </x:c>
      <x:c r="D5" s="16" t="str">
        <x:v>FY2024</x:v>
      </x:c>
      <x:c r="E5" s="16" t="str">
        <x:v>FY2025</x:v>
      </x:c>
      <x:c r="F5" s="16" t="str">
        <x:v>Unidade</x:v>
      </x:c>
      <x:c r="G5" s="16" t="str">
        <x:v>Variação</x:v>
      </x:c>
      <x:c r="H5" s="17" t="str">
        <x:v>Limite de comparação</x:v>
      </x:c>
      <x:c r="I5" s="2"/>
      <x:c r="J5" s="2"/>
    </x:row>
    <x:row r="6" ht="58" customHeight="1">
      <x:c r="A6" s="2"/>
      <x:c r="B6" s="2"/>
      <x:c r="C6" s="21" t="str">
        <x:v>Emissões. GHG Protocol (tabela 1A)</x:v>
      </x:c>
      <x:c r="D6" s="56" t="n">
        <x:f>IF(ISNUMBER('Dados'!D112),'Dados'!D112,"N/D")</x:f>
        <x:v>16693000</x:v>
      </x:c>
      <x:c r="E6" s="56" t="n">
        <x:f>IF(ISNUMBER('Dados'!E112),'Dados'!E112,"N/D")</x:f>
        <x:v>21121000</x:v>
      </x:c>
      <x:c r="F6" s="21" t="str">
        <x:v>tCO₂e</x:v>
      </x:c>
      <x:c r="G6" s="57" t="n">
        <x:f>IF(AND(ISNUMBER(D6),ISNUMBER(E6),D6&gt;0),E6/D6-1,"N/D")</x:f>
        <x:v>0.2652608877972802</x:v>
      </x:c>
      <x:c r="H6" s="21" t="str">
        <x:v>FY24 reexpresso; ano anterior excluído da revisão2026.</x:v>
      </x:c>
      <x:c r="I6" s="2"/>
      <x:c r="J6" s="2"/>
    </x:row>
    <x:row r="7" ht="58" customHeight="1">
      <x:c r="A7" s="2"/>
      <x:c r="B7" s="2"/>
      <x:c r="C7" s="21" t="str">
        <x:v>Emissões. Critérios da administração (tabela 1B)</x:v>
      </x:c>
      <x:c r="D7" s="56" t="n">
        <x:f>IF(ISNUMBER('Dados'!D113),'Dados'!D113,"N/D")</x:f>
        <x:v>16215000</x:v>
      </x:c>
      <x:c r="E7" s="56" t="n">
        <x:f>IF(ISNUMBER('Dados'!E113),'Dados'!E113,"N/D")</x:f>
        <x:v>20290000</x:v>
      </x:c>
      <x:c r="F7" s="21" t="str">
        <x:v>tCO₂e</x:v>
      </x:c>
      <x:c r="G7" s="57" t="n">
        <x:f>IF(AND(ISNUMBER(D7),ISNUMBER(E7),D7&gt;0),E7/D7-1,"N/D")</x:f>
        <x:v>0.25131051495528833</x:v>
      </x:c>
      <x:c r="H7" s="21" t="str">
        <x:v>25% narrativo corresponde aproximadamente a esta série, não à tabela1A. Não somar séries.</x:v>
      </x:c>
      <x:c r="I7" s="2"/>
      <x:c r="J7" s="2"/>
    </x:row>
    <x:row r="8" ht="58" customHeight="1">
      <x:c r="A8" s="2"/>
      <x:c r="B8" s="2"/>
      <x:c r="C8" s="21" t="str">
        <x:v>Eletricidade</x:v>
      </x:c>
      <x:c r="D8" s="56" t="n">
        <x:f>IF(ISNUMBER('Dados'!D114),'Dados'!D114,"N/D")</x:f>
        <x:v>29829540</x:v>
      </x:c>
      <x:c r="E8" s="56" t="n">
        <x:f>IF(ISNUMBER('Dados'!E114),'Dados'!E114,"N/D")</x:f>
        <x:v>37026353</x:v>
      </x:c>
      <x:c r="F8" s="21" t="str">
        <x:v>MWh</x:v>
      </x:c>
      <x:c r="G8" s="57" t="n">
        <x:f>IF(AND(ISNUMBER(D8),ISNUMBER(E8),D8&gt;0),E8/D8-1,"N/D")</x:f>
        <x:v>0.24126463230743744</x:v>
      </x:c>
      <x:c r="H8" s="21" t="str">
        <x:v>FY2024 não coberto pela revisão limitada FY2025.</x:v>
      </x:c>
      <x:c r="I8" s="2"/>
      <x:c r="J8" s="2"/>
    </x:row>
    <x:row r="9" ht="58" customHeight="1">
      <x:c r="A9" s="2"/>
      <x:c r="B9" s="2"/>
      <x:c r="C9" s="21" t="str">
        <x:v>Água retirada</x:v>
      </x:c>
      <x:c r="D9" s="56" t="n">
        <x:f>IF(ISNUMBER('Dados'!D115),'Dados'!D115,"N/D")</x:f>
        <x:v>11590</x:v>
      </x:c>
      <x:c r="E9" s="56" t="n">
        <x:f>IF(ISNUMBER('Dados'!E115),'Dados'!E115,"N/D")</x:f>
        <x:v>13266</x:v>
      </x:c>
      <x:c r="F9" s="21" t="str">
        <x:v>ML</x:v>
      </x:c>
      <x:c r="G9" s="57" t="n">
        <x:f>IF(AND(ISNUMBER(D9),ISNUMBER(E9),D9&gt;0),E9/D9-1,"N/D")</x:f>
        <x:v>0.14460742018981887</x:v>
      </x:c>
      <x:c r="H9" s="21" t="str">
        <x:v>Série histórica recalculada, inclusive volumes antes não reportados e ABK.</x:v>
      </x:c>
      <x:c r="I9" s="2"/>
      <x:c r="J9" s="2"/>
    </x:row>
    <x:row r="10" ht="58" customHeight="1">
      <x:c r="A10" s="2"/>
      <x:c r="B10" s="2"/>
      <x:c r="C10" s="21" t="str">
        <x:v>Água consumida</x:v>
      </x:c>
      <x:c r="D10" s="56" t="n">
        <x:f>IF(ISNUMBER('Dados'!D116),'Dados'!D116,"N/D")</x:f>
        <x:v>6693</x:v>
      </x:c>
      <x:c r="E10" s="56" t="n">
        <x:f>IF(ISNUMBER('Dados'!E116),'Dados'!E116,"N/D")</x:f>
        <x:v>8170</x:v>
      </x:c>
      <x:c r="F10" s="21" t="str">
        <x:v>ML</x:v>
      </x:c>
      <x:c r="G10" s="57" t="n">
        <x:f>IF(AND(ISNUMBER(D10),ISNUMBER(E10),D10&gt;0),E10/D10-1,"N/D")</x:f>
        <x:v>0.22067832063349768</x:v>
      </x:c>
      <x:c r="H10" s="21" t="str">
        <x:v>FY2024 não coberto pela revisão limitada FY2025.</x:v>
      </x:c>
      <x:c r="I10" s="2"/>
      <x:c r="J10" s="2"/>
    </x:row>
    <x:row r="11" ht="22" customHeight="1">
      <x:c r="A11" s="2"/>
      <x:c r="B11" s="2"/>
      <x:c r="C11" s="2" t="str">
        <x:v>GHG Protocol: padrão de contabilização de gases de efeito estufa. As duas séries de emissões usam critérios diferentes.</x:v>
      </x:c>
      <x:c r="D11" s="2"/>
      <x:c r="E11" s="2"/>
      <x:c r="F11" s="2"/>
      <x:c r="G11" s="2"/>
      <x:c r="H11" s="2"/>
      <x:c r="I11" s="2"/>
      <x:c r="J11" s="2"/>
    </x:row>
    <x:row r="12" ht="22" customHeight="1">
      <x:c r="A12" s="2"/>
      <x:c r="B12" s="2"/>
      <x:c r="C12" s="2" t="str">
        <x:v>Deloitte revisou informação ambiental especificada da seção 1 FY2025. A revisão não cobre todas as narrativas ou projetos.</x:v>
      </x:c>
      <x:c r="D12" s="2"/>
      <x:c r="E12" s="2"/>
      <x:c r="F12" s="2"/>
      <x:c r="G12" s="2"/>
      <x:c r="H12" s="2"/>
      <x:c r="I12" s="2"/>
      <x:c r="J12" s="2"/>
    </x:row>
    <x:row r="13" ht="22" customHeight="1">
      <x:c r="A13" s="2"/>
      <x:c r="B13" s="2"/>
      <x:c r="C13" s="2" t="str">
        <x:v>ML significa megalitro. 1 ML = 1.000 m³. A unidade original ML foi preservada; não some totais e componentes.</x:v>
      </x:c>
      <x:c r="D13" s="2"/>
      <x:c r="E13" s="2"/>
      <x:c r="F13" s="2"/>
      <x:c r="G13" s="2"/>
      <x:c r="H13" s="2"/>
      <x:c r="I13" s="2"/>
      <x:c r="J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30" customHeight="1">
      <x:c r="A15" s="2"/>
      <x:c r="B15" s="2"/>
      <x:c r="C15" s="15" t="str">
        <x:v>Item reportado</x:v>
      </x:c>
      <x:c r="D15" s="16" t="str">
        <x:v>Valor</x:v>
      </x:c>
      <x:c r="E15" s="16" t="str">
        <x:v>Unidade</x:v>
      </x:c>
      <x:c r="F15" s="16" t="str">
        <x:v>Período</x:v>
      </x:c>
      <x:c r="G15" s="16" t="str">
        <x:v>Situação</x:v>
      </x:c>
      <x:c r="H15" s="16" t="str">
        <x:v>Evidência</x:v>
      </x:c>
      <x:c r="I15" s="16" t="str">
        <x:v>Lacuna ou limite</x:v>
      </x:c>
      <x:c r="J15" s="17" t="str">
        <x:v>ID para rastrear</x:v>
      </x:c>
    </x:row>
    <x:row r="16" ht="32" customHeight="1">
      <x:c r="A16" s="2"/>
      <x:c r="B16" s="2"/>
      <x:c r="C16" s="21" t="str">
        <x:v>Emissões diretas Escopo 1</x:v>
      </x:c>
      <x:c r="D16" s="60" t="n">
        <x:f>IF(ISNUMBER('Dados'!C65),'Dados'!C65,"N/D")</x:f>
        <x:v>170887</x:v>
      </x:c>
      <x:c r="E16" s="59" t="str">
        <x:v>tCO₂e</x:v>
      </x:c>
      <x:c r="F16" s="21" t="str">
        <x:v>FY2025</x:v>
      </x:c>
      <x:c r="G16" s="21" t="str">
        <x:v>Executado, reportado</x:v>
      </x:c>
      <x:c r="H16" s="21" t="str">
        <x:v>Deloitte. Revisão limitada</x:v>
      </x:c>
      <x:c r="I16" s="21" t="str">
        <x:v>Não somar com totais, componentes ou critérios alternativos do mesmo grupo.</x:v>
      </x:c>
      <x:c r="J16" s="21" t="str">
        <x:v>ghg_scope1</x:v>
      </x:c>
    </x:row>
    <x:row r="17" ht="32" customHeight="1">
      <x:c r="A17" s="2"/>
      <x:c r="B17" s="2"/>
      <x:c r="C17" s="61" t="str">
        <x:v>Escopo 2 location-based</x:v>
      </x:c>
      <x:c r="D17" s="62" t="n">
        <x:f>IF(ISNUMBER('Dados'!C66),'Dados'!C66,"N/D")</x:f>
        <x:v>12030556</x:v>
      </x:c>
      <x:c r="E17" s="63" t="str">
        <x:v>tCO₂e</x:v>
      </x:c>
      <x:c r="F17" s="61" t="str">
        <x:v>FY2025</x:v>
      </x:c>
      <x:c r="G17" s="61" t="str">
        <x:v>Executado, reportado</x:v>
      </x:c>
      <x:c r="H17" s="61" t="str">
        <x:v>Deloitte. Revisão limitada</x:v>
      </x:c>
      <x:c r="I17" s="61" t="str">
        <x:v>Não somar com totais, componentes ou critérios alternativos do mesmo grupo.</x:v>
      </x:c>
      <x:c r="J17" s="61" t="str">
        <x:v>ghg_scope2_location</x:v>
      </x:c>
    </x:row>
    <x:row r="18" ht="32" customHeight="1">
      <x:c r="A18" s="2"/>
      <x:c r="B18" s="2"/>
      <x:c r="C18" s="21" t="str">
        <x:v>Escopo 2 market-based</x:v>
      </x:c>
      <x:c r="D18" s="60" t="n">
        <x:f>IF(ISNUMBER('Dados'!C67),'Dados'!C67,"N/D")</x:f>
        <x:v>2707428</x:v>
      </x:c>
      <x:c r="E18" s="59" t="str">
        <x:v>tCO₂e</x:v>
      </x:c>
      <x:c r="F18" s="21" t="str">
        <x:v>FY2025</x:v>
      </x:c>
      <x:c r="G18" s="21" t="str">
        <x:v>Executado, reportado</x:v>
      </x:c>
      <x:c r="H18" s="21" t="str">
        <x:v>Deloitte. Revisão limitada</x:v>
      </x:c>
      <x:c r="I18" s="21" t="str">
        <x:v>Não somar com totais, componentes ou critérios alternativos do mesmo grupo.</x:v>
      </x:c>
      <x:c r="J18" s="21" t="str">
        <x:v>ghg_scope2_market</x:v>
      </x:c>
    </x:row>
    <x:row r="19" ht="32" customHeight="1">
      <x:c r="A19" s="2"/>
      <x:c r="B19" s="2"/>
      <x:c r="C19" s="61" t="str">
        <x:v>Escopo 3 conforme tabela GHG Protocol</x:v>
      </x:c>
      <x:c r="D19" s="62" t="n">
        <x:f>IF(ISNUMBER('Dados'!C68),'Dados'!C68,"N/D")</x:f>
        <x:v>18243000</x:v>
      </x:c>
      <x:c r="E19" s="63" t="str">
        <x:v>tCO₂e</x:v>
      </x:c>
      <x:c r="F19" s="61" t="str">
        <x:v>FY2025</x:v>
      </x:c>
      <x:c r="G19" s="61" t="str">
        <x:v>Executado, reportado</x:v>
      </x:c>
      <x:c r="H19" s="61" t="str">
        <x:v>Deloitte. Revisão limitada</x:v>
      </x:c>
      <x:c r="I19" s="61" t="str">
        <x:v>Não somar com totais, componentes ou critérios alternativos do mesmo grupo.</x:v>
      </x:c>
      <x:c r="J19" s="61" t="str">
        <x:v>ghg_scope3_ghgp</x:v>
      </x:c>
    </x:row>
    <x:row r="20" ht="32" customHeight="1">
      <x:c r="A20" s="2"/>
      <x:c r="B20" s="2"/>
      <x:c r="C20" s="21" t="str">
        <x:v>Emissões totais tabela 1A: S1+S2 market-based+S3</x:v>
      </x:c>
      <x:c r="D20" s="60" t="n">
        <x:f>IF(ISNUMBER('Dados'!C69),'Dados'!C69,"N/D")</x:f>
        <x:v>21121000</x:v>
      </x:c>
      <x:c r="E20" s="59" t="str">
        <x:v>tCO₂e</x:v>
      </x:c>
      <x:c r="F20" s="21" t="str">
        <x:v>FY2025</x:v>
      </x:c>
      <x:c r="G20" s="21" t="str">
        <x:v>Executado, reportado</x:v>
      </x:c>
      <x:c r="H20" s="21" t="str">
        <x:v>Deloitte. Revisão limitada</x:v>
      </x:c>
      <x:c r="I20" s="21" t="str">
        <x:v>Não somar com totais, componentes ou critérios alternativos do mesmo grupo.</x:v>
      </x:c>
      <x:c r="J20" s="21" t="str">
        <x:v>ghg_total_ghgp</x:v>
      </x:c>
    </x:row>
    <x:row r="21" ht="32" customHeight="1">
      <x:c r="A21" s="2"/>
      <x:c r="B21" s="2"/>
      <x:c r="C21" s="61" t="str">
        <x:v>Emissões totais segundo critérios da administração</x:v>
      </x:c>
      <x:c r="D21" s="62" t="n">
        <x:f>IF(ISNUMBER('Dados'!C70),'Dados'!C70,"N/D")</x:f>
        <x:v>20290000</x:v>
      </x:c>
      <x:c r="E21" s="63" t="str">
        <x:v>tCO₂e</x:v>
      </x:c>
      <x:c r="F21" s="61" t="str">
        <x:v>FY2025</x:v>
      </x:c>
      <x:c r="G21" s="61" t="str">
        <x:v>Executado, reportado</x:v>
      </x:c>
      <x:c r="H21" s="61" t="str">
        <x:v>Deloitte. Revisão limitada</x:v>
      </x:c>
      <x:c r="I21" s="61" t="str">
        <x:v>Não somar com totais, componentes ou critérios alternativos do mesmo grupo.</x:v>
      </x:c>
      <x:c r="J21" s="61" t="str">
        <x:v>ghg_total_management</x:v>
      </x:c>
    </x:row>
    <x:row r="22" ht="32" customHeight="1">
      <x:c r="A22" s="2"/>
      <x:c r="B22" s="2"/>
      <x:c r="C22" s="21" t="str">
        <x:v>Consumo total de energia</x:v>
      </x:c>
      <x:c r="D22" s="60" t="n">
        <x:f>IF(ISNUMBER('Dados'!C71),'Dados'!C71,"N/D")</x:f>
        <x:v>37461476</x:v>
      </x:c>
      <x:c r="E22" s="59" t="str">
        <x:v>MWh</x:v>
      </x:c>
      <x:c r="F22" s="21" t="str">
        <x:v>FY2025</x:v>
      </x:c>
      <x:c r="G22" s="21" t="str">
        <x:v>Executado, reportado</x:v>
      </x:c>
      <x:c r="H22" s="21" t="str">
        <x:v>Deloitte. Revisão limitada</x:v>
      </x:c>
      <x:c r="I22" s="21" t="str">
        <x:v>Não somar com totais, componentes ou critérios alternativos do mesmo grupo.</x:v>
      </x:c>
      <x:c r="J22" s="21" t="str">
        <x:v>energy_total</x:v>
      </x:c>
    </x:row>
    <x:row r="23" ht="32" customHeight="1">
      <x:c r="A23" s="2"/>
      <x:c r="B23" s="2"/>
      <x:c r="C23" s="61" t="str">
        <x:v>Eletricidade consumida</x:v>
      </x:c>
      <x:c r="D23" s="62" t="n">
        <x:f>IF(ISNUMBER('Dados'!C72),'Dados'!C72,"N/D")</x:f>
        <x:v>37026353</x:v>
      </x:c>
      <x:c r="E23" s="63" t="str">
        <x:v>MWh</x:v>
      </x:c>
      <x:c r="F23" s="61" t="str">
        <x:v>FY2025</x:v>
      </x:c>
      <x:c r="G23" s="61" t="str">
        <x:v>Executado, reportado</x:v>
      </x:c>
      <x:c r="H23" s="61" t="str">
        <x:v>Deloitte. Revisão limitada</x:v>
      </x:c>
      <x:c r="I23" s="61" t="str">
        <x:v>Não somar com totais, componentes ou critérios alternativos do mesmo grupo.</x:v>
      </x:c>
      <x:c r="J23" s="61" t="str">
        <x:v>electricity</x:v>
      </x:c>
    </x:row>
    <x:row r="24" ht="54" customHeight="1">
      <x:c r="A24" s="2"/>
      <x:c r="B24" s="2"/>
      <x:c r="C24" s="21" t="str">
        <x:v>Eletricidade renovável casada para contabilidade operacional</x:v>
      </x:c>
      <x:c r="D24" s="60" t="n">
        <x:f>IF(ISNUMBER('Dados'!C73),'Dados'!C73,"N/D")</x:f>
        <x:v>34534392</x:v>
      </x:c>
      <x:c r="E24" s="59" t="str">
        <x:v>MWh</x:v>
      </x:c>
      <x:c r="F24" s="21" t="str">
        <x:v>FY2025</x:v>
      </x:c>
      <x:c r="G24" s="21" t="str">
        <x:v>Executado, reportado</x:v>
      </x:c>
      <x:c r="H24" s="21" t="str">
        <x:v>Deloitte. Revisão limitada</x:v>
      </x:c>
      <x:c r="I24" s="21" t="str">
        <x:v>Tabela 6 inclui fração renovável da rede; tabela 5 exclui essa fração e volumes de Scope 3. Critérios diferentes. Casamento anual não demonstra fornecimento livre de carbono 24/7 por instalação.</x:v>
      </x:c>
      <x:c r="J24" s="21" t="str">
        <x:v>renewable_matched_mwh</x:v>
      </x:c>
    </x:row>
    <x:row r="25" ht="54" customHeight="1">
      <x:c r="A25" s="2"/>
      <x:c r="B25" s="2"/>
      <x:c r="C25" s="61" t="str">
        <x:v>Eletricidade renovável direta segundo critério da tabela 6</x:v>
      </x:c>
      <x:c r="D25" s="67" t="n">
        <x:f>IF(ISNUMBER('Dados'!C74),'Dados'!C74/100,"N/D")</x:f>
        <x:v>1</x:v>
      </x:c>
      <x:c r="E25" s="63" t="str">
        <x:v>proporção</x:v>
      </x:c>
      <x:c r="F25" s="61" t="str">
        <x:v>FY2025</x:v>
      </x:c>
      <x:c r="G25" s="61" t="str">
        <x:v>Executado, reportado</x:v>
      </x:c>
      <x:c r="H25" s="61" t="str">
        <x:v>Deloitte. Revisão limitada</x:v>
      </x:c>
      <x:c r="I25" s="61" t="str">
        <x:v>Tabela 6 inclui fração renovável da rede; tabela 5 exclui essa fração e volumes de Scope 3. Critérios diferentes. Casamento anual não demonstra fornecimento livre de carbono 24/7 por instalação.</x:v>
      </x:c>
      <x:c r="J25" s="61" t="str">
        <x:v>direct_renewable_pct</x:v>
      </x:c>
    </x:row>
    <x:row r="26" ht="32" customHeight="1">
      <x:c r="A26" s="2"/>
      <x:c r="B26" s="2"/>
      <x:c r="C26" s="21" t="str">
        <x:v>Retirada total de água</x:v>
      </x:c>
      <x:c r="D26" s="60" t="n">
        <x:f>IF(ISNUMBER('Dados'!C75),'Dados'!C75,"N/D")</x:f>
        <x:v>13266</x:v>
      </x:c>
      <x:c r="E26" s="59" t="str">
        <x:v>ML</x:v>
      </x:c>
      <x:c r="F26" s="21" t="str">
        <x:v>FY2025</x:v>
      </x:c>
      <x:c r="G26" s="21" t="str">
        <x:v>Executado, reportado</x:v>
      </x:c>
      <x:c r="H26" s="21" t="str">
        <x:v>Deloitte. Revisão limitada</x:v>
      </x:c>
      <x:c r="I26" s="21" t="str">
        <x:v>Não somar com totais, componentes ou critérios alternativos do mesmo grupo.</x:v>
      </x:c>
      <x:c r="J26" s="21" t="str">
        <x:v>water_withdrawal</x:v>
      </x:c>
    </x:row>
    <x:row r="27" ht="32" customHeight="1">
      <x:c r="A27" s="2"/>
      <x:c r="B27" s="2"/>
      <x:c r="C27" s="61" t="str">
        <x:v>Consumo total de água</x:v>
      </x:c>
      <x:c r="D27" s="62" t="n">
        <x:f>IF(ISNUMBER('Dados'!C76),'Dados'!C76,"N/D")</x:f>
        <x:v>8170</x:v>
      </x:c>
      <x:c r="E27" s="63" t="str">
        <x:v>ML</x:v>
      </x:c>
      <x:c r="F27" s="61" t="str">
        <x:v>FY2025</x:v>
      </x:c>
      <x:c r="G27" s="61" t="str">
        <x:v>Executado, reportado</x:v>
      </x:c>
      <x:c r="H27" s="61" t="str">
        <x:v>Deloitte. Revisão limitada</x:v>
      </x:c>
      <x:c r="I27" s="61" t="str">
        <x:v>Não somar com totais, componentes ou critérios alternativos do mesmo grupo.</x:v>
      </x:c>
      <x:c r="J27" s="61" t="str">
        <x:v>water_consumption</x:v>
      </x:c>
    </x:row>
    <x:row r="28" ht="32" customHeight="1">
      <x:c r="A28" s="2"/>
      <x:c r="B28" s="2"/>
      <x:c r="C28" s="21" t="str">
        <x:v>Descarga de água</x:v>
      </x:c>
      <x:c r="D28" s="60" t="n">
        <x:f>IF(ISNUMBER('Dados'!C77),'Dados'!C77,"N/D")</x:f>
        <x:v>5096</x:v>
      </x:c>
      <x:c r="E28" s="59" t="str">
        <x:v>ML</x:v>
      </x:c>
      <x:c r="F28" s="21" t="str">
        <x:v>FY2025</x:v>
      </x:c>
      <x:c r="G28" s="21" t="str">
        <x:v>Executado, reportado</x:v>
      </x:c>
      <x:c r="H28" s="21" t="str">
        <x:v>Deloitte. Revisão limitada</x:v>
      </x:c>
      <x:c r="I28" s="21" t="str">
        <x:v>Não somar com totais, componentes ou critérios alternativos do mesmo grupo.</x:v>
      </x:c>
      <x:c r="J28" s="21" t="str">
        <x:v>water_discharge</x:v>
      </x:c>
    </x:row>
    <x:row r="29" ht="32" customHeight="1">
      <x:c r="A29" s="2"/>
      <x:c r="B29" s="2"/>
      <x:c r="C29" s="61" t="str">
        <x:v>Retirada em áreas de estresse hídrico</x:v>
      </x:c>
      <x:c r="D29" s="62" t="n">
        <x:f>IF(ISNUMBER('Dados'!C78),'Dados'!C78,"N/D")</x:f>
        <x:v>6659</x:v>
      </x:c>
      <x:c r="E29" s="63" t="str">
        <x:v>ML</x:v>
      </x:c>
      <x:c r="F29" s="61" t="str">
        <x:v>FY2025</x:v>
      </x:c>
      <x:c r="G29" s="61" t="str">
        <x:v>Executado, reportado</x:v>
      </x:c>
      <x:c r="H29" s="61" t="str">
        <x:v>Deloitte. Revisão limitada</x:v>
      </x:c>
      <x:c r="I29" s="61" t="str">
        <x:v>Não somar com totais, componentes ou critérios alternativos do mesmo grupo.</x:v>
      </x:c>
      <x:c r="J29" s="61" t="str">
        <x:v>water_stress_withdrawal</x:v>
      </x:c>
    </x:row>
    <x:row r="30" ht="32" customHeight="1">
      <x:c r="A30" s="2"/>
      <x:c r="B30" s="2"/>
      <x:c r="C30" s="21" t="str">
        <x:v>Consumo em áreas de estresse hídrico</x:v>
      </x:c>
      <x:c r="D30" s="60" t="n">
        <x:f>IF(ISNUMBER('Dados'!C79),'Dados'!C79,"N/D")</x:f>
        <x:v>3926</x:v>
      </x:c>
      <x:c r="E30" s="59" t="str">
        <x:v>ML</x:v>
      </x:c>
      <x:c r="F30" s="21" t="str">
        <x:v>FY2025</x:v>
      </x:c>
      <x:c r="G30" s="21" t="str">
        <x:v>Executado, reportado</x:v>
      </x:c>
      <x:c r="H30" s="21" t="str">
        <x:v>Deloitte. Revisão limitada</x:v>
      </x:c>
      <x:c r="I30" s="21" t="str">
        <x:v>Não somar com totais, componentes ou critérios alternativos do mesmo grupo.</x:v>
      </x:c>
      <x:c r="J30" s="21" t="str">
        <x:v>water_stress_consumption</x:v>
      </x:c>
    </x:row>
    <x:row r="31" ht="54" customHeight="1">
      <x:c r="A31" s="2"/>
      <x:c r="B31" s="2"/>
      <x:c r="C31" s="61" t="str">
        <x:v>Resíduos operacionais gerados</x:v>
      </x:c>
      <x:c r="D31" s="62" t="n">
        <x:f>IF(ISNUMBER('Dados'!C80),'Dados'!C80,"N/D")</x:f>
        <x:v>58868</x:v>
      </x:c>
      <x:c r="E31" s="63" t="str">
        <x:v>toneladas</x:v>
      </x:c>
      <x:c r="F31" s="61" t="str">
        <x:v>FY2025</x:v>
      </x:c>
      <x:c r="G31" s="61" t="str">
        <x:v>Executado, reportado</x:v>
      </x:c>
      <x:c r="H31" s="61" t="str">
        <x:v>Deloitte. Revisão limitada</x:v>
      </x:c>
      <x:c r="I31" s="61" t="str">
        <x:v>FY25 adiciona embalagens de hardware de nuvem; anos anteriores não foram ajustados por falta de dados. Prevenção não deve ser somada como gasto/doação.</x:v>
      </x:c>
      <x:c r="J31" s="61" t="str">
        <x:v>waste_generated</x:v>
      </x:c>
    </x:row>
    <x:row r="32" ht="54" customHeight="1">
      <x:c r="A32" s="2"/>
      <x:c r="B32" s="2"/>
      <x:c r="C32" s="21" t="str">
        <x:v>Resíduos operacionais desviados de disposição</x:v>
      </x:c>
      <x:c r="D32" s="60" t="n">
        <x:f>IF(ISNUMBER('Dados'!C81),'Dados'!C81,"N/D")</x:f>
        <x:v>36149</x:v>
      </x:c>
      <x:c r="E32" s="59" t="str">
        <x:v>toneladas</x:v>
      </x:c>
      <x:c r="F32" s="21" t="str">
        <x:v>FY2025</x:v>
      </x:c>
      <x:c r="G32" s="21" t="str">
        <x:v>Executado, reportado</x:v>
      </x:c>
      <x:c r="H32" s="21" t="str">
        <x:v>Deloitte. Revisão limitada</x:v>
      </x:c>
      <x:c r="I32" s="21" t="str">
        <x:v>FY25 adiciona embalagens de hardware de nuvem; anos anteriores não foram ajustados por falta de dados. Prevenção não deve ser somada como gasto/doação.</x:v>
      </x:c>
      <x:c r="J32" s="21" t="str">
        <x:v>waste_diverted</x:v>
      </x:c>
    </x:row>
    <x:row r="33" ht="54" customHeight="1">
      <x:c r="A33" s="2"/>
      <x:c r="B33" s="2"/>
      <x:c r="C33" s="61" t="str">
        <x:v>Resíduos operacionais destinados a disposição</x:v>
      </x:c>
      <x:c r="D33" s="62" t="n">
        <x:f>IF(ISNUMBER('Dados'!C82),'Dados'!C82,"N/D")</x:f>
        <x:v>22719</x:v>
      </x:c>
      <x:c r="E33" s="63" t="str">
        <x:v>toneladas</x:v>
      </x:c>
      <x:c r="F33" s="61" t="str">
        <x:v>FY2025</x:v>
      </x:c>
      <x:c r="G33" s="61" t="str">
        <x:v>Executado, reportado</x:v>
      </x:c>
      <x:c r="H33" s="61" t="str">
        <x:v>Deloitte. Revisão limitada</x:v>
      </x:c>
      <x:c r="I33" s="61" t="str">
        <x:v>FY25 adiciona embalagens de hardware de nuvem; anos anteriores não foram ajustados por falta de dados. Prevenção não deve ser somada como gasto/doação.</x:v>
      </x:c>
      <x:c r="J33" s="61" t="str">
        <x:v>waste_disposed</x:v>
      </x:c>
    </x:row>
    <x:row r="34" ht="54" customHeight="1">
      <x:c r="A34" s="2"/>
      <x:c r="B34" s="2"/>
      <x:c r="C34" s="21" t="str">
        <x:v>Prevenção estimada de resíduos por reúso/redução nos locais reportados</x:v>
      </x:c>
      <x:c r="D34" s="60" t="n">
        <x:f>IF(ISNUMBER('Dados'!C83),'Dados'!C83,"N/D")</x:f>
        <x:v>7646</x:v>
      </x:c>
      <x:c r="E34" s="59" t="str">
        <x:v>toneladas</x:v>
      </x:c>
      <x:c r="F34" s="21" t="str">
        <x:v>FY2025</x:v>
      </x:c>
      <x:c r="G34" s="21" t="str">
        <x:v>Executado, reportado</x:v>
      </x:c>
      <x:c r="H34" s="21" t="str">
        <x:v>Deloitte. Revisão limitada</x:v>
      </x:c>
      <x:c r="I34" s="21" t="str">
        <x:v>FY25 adiciona embalagens de hardware de nuvem; anos anteriores não foram ajustados por falta de dados. Prevenção não deve ser somada como gasto/doação.</x:v>
      </x:c>
      <x:c r="J34" s="21" t="str">
        <x:v>waste_prevented</x:v>
      </x:c>
    </x:row>
    <x:row r="35" ht="32" customHeight="1">
      <x:c r="A35" s="2"/>
      <x:c r="B35" s="2"/>
      <x:c r="C35" s="61" t="str">
        <x:v>Reciclabilidade das embalagens de produtos</x:v>
      </x:c>
      <x:c r="D35" s="67" t="n">
        <x:f>IF(ISNUMBER('Dados'!C84),'Dados'!C84/100,"N/D")</x:f>
        <x:v>0.958</x:v>
      </x:c>
      <x:c r="E35" s="63" t="str">
        <x:v>proporção</x:v>
      </x:c>
      <x:c r="F35" s="61" t="str">
        <x:v>FY2025</x:v>
      </x:c>
      <x:c r="G35" s="61" t="str">
        <x:v>Executado, reportado</x:v>
      </x:c>
      <x:c r="H35" s="61" t="str">
        <x:v>Deloitte. Revisão limitada</x:v>
      </x:c>
      <x:c r="I35" s="61" t="str">
        <x:v>Não somar com totais, componentes ou critérios alternativos do mesmo grupo.</x:v>
      </x:c>
      <x:c r="J35" s="61" t="str">
        <x:v>packaging_recyclable</x:v>
      </x:c>
    </x:row>
    <x:row r="36" ht="32" customHeight="1">
      <x:c r="A36" s="2"/>
      <x:c r="B36" s="2"/>
      <x:c r="C36" s="21" t="str">
        <x:v>Plásticos de uso único nas embalagens primárias, FY25</x:v>
      </x:c>
      <x:c r="D36" s="66" t="n">
        <x:f>IF(ISNUMBER('Dados'!C85),'Dados'!C85/100,"N/D")</x:f>
        <x:v>0.042</x:v>
      </x:c>
      <x:c r="E36" s="59" t="str">
        <x:v>proporção</x:v>
      </x:c>
      <x:c r="F36" s="21" t="str">
        <x:v>FY2025</x:v>
      </x:c>
      <x:c r="G36" s="21" t="str">
        <x:v>Executado, reportado</x:v>
      </x:c>
      <x:c r="H36" s="21" t="str">
        <x:v>Deloitte. Revisão limitada</x:v>
      </x:c>
      <x:c r="I36" s="21" t="str">
        <x:v>Não somar com totais, componentes ou critérios alternativos do mesmo grupo.</x:v>
      </x:c>
      <x:c r="J36" s="21" t="str">
        <x:v>packaging_singleuse_fy</x:v>
      </x:c>
    </x:row>
    <x:row r="37" ht="68" customHeight="1">
      <x:c r="A37" s="2"/>
      <x:c r="B37" s="2"/>
      <x:c r="C37" s="61" t="str">
        <x:v>Área protegida atribuída a contribuições da Microsoft, posição final</x:v>
      </x:c>
      <x:c r="D37" s="62" t="n">
        <x:f>IF(ISNUMBER('Dados'!C86),'Dados'!C86,"N/D")</x:f>
        <x:v>16266</x:v>
      </x:c>
      <x:c r="E37" s="63" t="str">
        <x:v>acres</x:v>
      </x:c>
      <x:c r="F37" s="61" t="str">
        <x:v>FY2025</x:v>
      </x:c>
      <x:c r="G37" s="61" t="str">
        <x:v>Executado, reportado</x:v>
      </x:c>
      <x:c r="H37" s="61" t="str">
        <x:v>Deloitte. Revisão limitada</x:v>
      </x:c>
      <x:c r="I37" s="61" t="str">
        <x:v>Estoque cumulativo, não novas aquisições FY25. Área atribuída por contribuição dividida pelo custo por acre do parceiro, líquida de overhead; não implica propriedade Microsoft. Financiado e protegido se sobrepõem, não somar.</x:v>
      </x:c>
      <x:c r="J37" s="61" t="str">
        <x:v>land_protected</x:v>
      </x:c>
    </x:row>
    <x:row r="38" ht="40" customHeight="1">
      <x:c r="A38" s="2"/>
      <x:c r="B38" s="2"/>
      <x:c r="C38" s="21" t="str">
        <x:v>Plásticos de uso único nas embalagens primárias no fim de CY2025</x:v>
      </x:c>
      <x:c r="D38" s="70" t="n">
        <x:f>IF(ISNUMBER('Dados'!C87),'Dados'!C87/100,"N/D")</x:f>
        <x:v>0.0007000000000000001</x:v>
      </x:c>
      <x:c r="E38" s="59" t="str">
        <x:v>proporção</x:v>
      </x:c>
      <x:c r="F38" s="21" t="str">
        <x:v>31/12/2025. Fora FY25</x:v>
      </x:c>
      <x:c r="G38" s="21" t="str">
        <x:v>Executado, reportado</x:v>
      </x:c>
      <x:c r="H38" s="21" t="str">
        <x:v>Deloitte. Revisão limitada</x:v>
      </x:c>
      <x:c r="I38" s="21" t="str">
        <x:v>Não somar com totais, componentes ou critérios alternativos do mesmo grupo.</x:v>
      </x:c>
      <x:c r="J38" s="21" t="str">
        <x:v>packaging_singleuse_cy</x:v>
      </x:c>
    </x:row>
    <x:row r="39" ht="54" customHeight="1">
      <x:c r="A39" s="2"/>
      <x:c r="B39" s="2"/>
      <x:c r="C39" s="61" t="str">
        <x:v>Reposição hídrica anual reportada, superior a 14,2 milhões de m³</x:v>
      </x:c>
      <x:c r="D39" s="74" t="n">
        <x:f>IF(ISNUMBER('Dados'!C88),'Dados'!C88,"N/D")</x:f>
        <x:v>14200000</x:v>
      </x:c>
      <x:c r="E39" s="63" t="str">
        <x:v>m³</x:v>
      </x:c>
      <x:c r="F39" s="61" t="str">
        <x:v>FY2025</x:v>
      </x:c>
      <x:c r="G39" s="61" t="str">
        <x:v>Executado, reportado</x:v>
      </x:c>
      <x:c r="H39" s="61" t="str">
        <x:v>Microsoft. Autorrelato</x:v>
      </x:c>
      <x:c r="I39" s="61" t="str">
        <x:v>Fora do escopo da revisão limitada citada. Resultado global não prova compensação em cada bacia/local ou ausência de dano hídrico. Não equivale a desembolso financeiro.</x:v>
      </x:c>
      <x:c r="J39" s="61" t="str">
        <x:v>water_replenished</x:v>
      </x:c>
    </x:row>
    <x:row r="40" ht="32" customHeight="1">
      <x:c r="A40" s="2"/>
      <x:c r="B40" s="2"/>
      <x:c r="C40" s="21" t="str">
        <x:v>Novos projetos de reposição financiados em FY25</x:v>
      </x:c>
      <x:c r="D40" s="60" t="n">
        <x:f>IF(ISNUMBER('Dados'!C89),'Dados'!C89,"N/D")</x:f>
        <x:v>24</x:v>
      </x:c>
      <x:c r="E40" s="59" t="str">
        <x:v>projetos</x:v>
      </x:c>
      <x:c r="F40" s="21" t="str">
        <x:v>FY2025</x:v>
      </x:c>
      <x:c r="G40" s="21" t="str">
        <x:v>Executado, reportado</x:v>
      </x:c>
      <x:c r="H40" s="21" t="str">
        <x:v>Microsoft. Autorrelato</x:v>
      </x:c>
      <x:c r="I40" s="21" t="str">
        <x:v>Valor monetário e pagamento por projeto ausentes.</x:v>
      </x:c>
      <x:c r="J40" s="21" t="str">
        <x:v>water_new_projects</x:v>
      </x:c>
    </x:row>
    <x:row r="41" ht="40" customHeight="1">
      <x:c r="A41" s="2"/>
      <x:c r="B41" s="2"/>
      <x:c r="C41" s="61" t="str">
        <x:v>Benefício hídrico estimado durante a vida dos 24 novos projetos</x:v>
      </x:c>
      <x:c r="D41" s="74" t="n">
        <x:f>IF(ISNUMBER('Dados'!C90),'Dados'!C90,"N/D")</x:f>
        <x:v>29000000</x:v>
      </x:c>
      <x:c r="E41" s="63" t="str">
        <x:v>m³</x:v>
      </x:c>
      <x:c r="F41" s="61" t="str">
        <x:v>Vida futura dos projetos</x:v>
      </x:c>
      <x:c r="G41" s="61" t="str">
        <x:v>Projetado</x:v>
      </x:c>
      <x:c r="H41" s="61" t="str">
        <x:v>Microsoft. Autorrelato</x:v>
      </x:c>
      <x:c r="I41" s="61" t="str">
        <x:v>Não é volume executado no FY25; integra carteira acumulada.</x:v>
      </x:c>
      <x:c r="J41" s="61" t="str">
        <x:v>water_new_lifetime</x:v>
      </x:c>
    </x:row>
    <x:row r="42" ht="40" customHeight="1">
      <x:c r="A42" s="2"/>
      <x:c r="B42" s="2"/>
      <x:c r="C42" s="21" t="str">
        <x:v>Reposição contratada acumulada estimada durante vida dos projetos</x:v>
      </x:c>
      <x:c r="D42" s="73" t="n">
        <x:f>IF(ISNUMBER('Dados'!C91),'Dados'!C91,"N/D")</x:f>
        <x:v>133000000</x:v>
      </x:c>
      <x:c r="E42" s="59" t="str">
        <x:v>m³</x:v>
      </x:c>
      <x:c r="F42" s="21" t="str">
        <x:v>Carteira acumulada. Vida dos contratos</x:v>
      </x:c>
      <x:c r="G42" s="21" t="str">
        <x:v>Contratado, projeção</x:v>
      </x:c>
      <x:c r="H42" s="21" t="str">
        <x:v>Microsoft. Autorrelato</x:v>
      </x:c>
      <x:c r="I42" s="21" t="str">
        <x:v>Não somar com totais, componentes ou critérios alternativos do mesmo grupo.</x:v>
      </x:c>
      <x:c r="J42" s="21" t="str">
        <x:v>water_portfolio_lifetime</x:v>
      </x:c>
    </x:row>
    <x:row r="43" ht="40" customHeight="1">
      <x:c r="A43" s="2"/>
      <x:c r="B43" s="2"/>
      <x:c r="C43" s="61" t="str">
        <x:v>Remoção de carbono contratada em FY25</x:v>
      </x:c>
      <x:c r="D43" s="62" t="n">
        <x:f>IF(ISNUMBER('Dados'!C92),'Dados'!C92,"N/D")</x:f>
        <x:v>45000000</x:v>
      </x:c>
      <x:c r="E43" s="63" t="str">
        <x:v>tCO₂e</x:v>
      </x:c>
      <x:c r="F43" s="61" t="str">
        <x:v>Contratos FY25. Entregas futuras</x:v>
      </x:c>
      <x:c r="G43" s="61" t="str">
        <x:v>Contratado</x:v>
      </x:c>
      <x:c r="H43" s="61" t="str">
        <x:v>Microsoft. Autorrelato</x:v>
      </x:c>
      <x:c r="I43" s="61" t="str">
        <x:v>Não subtrair 45 Mt das emissões anuais: contrato não comprova remoção entregue/verificada. Desembolso e valor de contratos não divulgados.</x:v>
      </x:c>
      <x:c r="J43" s="61" t="str">
        <x:v>carbon_removal_contracted</x:v>
      </x:c>
    </x:row>
    <x:row r="44" ht="40" customHeight="1">
      <x:c r="A44" s="2"/>
      <x:c r="B44" s="2"/>
      <x:c r="C44" s="21" t="str">
        <x:v>Reúso ou reciclagem de servidores e componentes desativados</x:v>
      </x:c>
      <x:c r="D44" s="66" t="n">
        <x:f>IF(ISNUMBER('Dados'!C93),'Dados'!C93/100,"N/D")</x:f>
        <x:v>0.92</x:v>
      </x:c>
      <x:c r="E44" s="59" t="str">
        <x:v>proporção</x:v>
      </x:c>
      <x:c r="F44" s="21" t="str">
        <x:v>FY2025</x:v>
      </x:c>
      <x:c r="G44" s="21" t="str">
        <x:v>Executado, reportado</x:v>
      </x:c>
      <x:c r="H44" s="21" t="str">
        <x:v>Microsoft. Autorrelato</x:v>
      </x:c>
      <x:c r="I44" s="21" t="str">
        <x:v>Autorrelato narrativo; não extrapolar para todos os resíduos nem confundir reúso com reciclagem.</x:v>
      </x:c>
      <x:c r="J44" s="21" t="str">
        <x:v>hardware_reuse_recycle</x:v>
      </x:c>
    </x:row>
    <x:row r="45" ht="68" customHeight="1">
      <x:c r="A45" s="2"/>
      <x:c r="B45" s="2"/>
      <x:c r="C45" s="61" t="str">
        <x:v>Doações de empregados incluindo contrapartida empresarial no Annual Report/Impact Summary</x:v>
      </x:c>
      <x:c r="D45" s="77" t="n">
        <x:f>IF(ISNUMBER('Dados'!C94),'Dados'!C94/1000000,"N/D")</x:f>
        <x:v>263</x:v>
      </x:c>
      <x:c r="E45" s="63" t="str">
        <x:v>USD milhões</x:v>
      </x:c>
      <x:c r="F45" s="61" t="str">
        <x:v>2025. Janela a confirmar</x:v>
      </x:c>
      <x:c r="G45" s="61" t="str">
        <x:v>Executado, reportado</x:v>
      </x:c>
      <x:c r="H45" s="61" t="str">
        <x:v>Microsoft. Autorrelato</x:v>
      </x:c>
      <x:c r="I45" s="61" t="str">
        <x:v>Não é todo recurso próprio da empresa; parcela match desconhecida. Diverge de página de employee giving: US$255,6M em 2025; possível período/perímetro distinto não confirmado. Auditoria financeira não abrange automaticamente carta do CEO.</x:v>
      </x:c>
      <x:c r="J45" s="61" t="str">
        <x:v>employee_giving_ar</x:v>
      </x:c>
    </x:row>
    <x:row r="46" ht="54" customHeight="1">
      <x:c r="A46" s="2"/>
      <x:c r="B46" s="2"/>
      <x:c r="C46" s="21" t="str">
        <x:v>Doações na página de employee engagement, incluindo company match</x:v>
      </x:c>
      <x:c r="D46" s="76" t="n">
        <x:f>IF(ISNUMBER('Dados'!C95),'Dados'!C95/1000000,"N/D")</x:f>
        <x:v>255.6</x:v>
      </x:c>
      <x:c r="E46" s="59" t="str">
        <x:v>USD milhões</x:v>
      </x:c>
      <x:c r="F46" s="21" t="str">
        <x:v>2025. Janela a confirmar</x:v>
      </x:c>
      <x:c r="G46" s="21" t="str">
        <x:v>Executado, reportado</x:v>
      </x:c>
      <x:c r="H46" s="21" t="str">
        <x:v>Microsoft. Autorrelato</x:v>
      </x:c>
      <x:c r="I46" s="21" t="str">
        <x:v>36.500 organizações e 110 países; valor não conciliado com US$263M/37.000 organizações. Não somar versões nem interpretar a diferença como desvio.</x:v>
      </x:c>
      <x:c r="J46" s="21" t="str">
        <x:v>employee_giving_page</x:v>
      </x:c>
    </x:row>
    <x:row r="47" ht="40" customHeight="1">
      <x:c r="A47" s="2"/>
      <x:c r="B47" s="2"/>
      <x:c r="C47" s="61" t="str">
        <x:v>Horas de voluntariado reportadas, mais de 1,2 milhão</x:v>
      </x:c>
      <x:c r="D47" s="74" t="n">
        <x:f>IF(ISNUMBER('Dados'!C96),'Dados'!C96,"N/D")</x:f>
        <x:v>1200000</x:v>
      </x:c>
      <x:c r="E47" s="63" t="str">
        <x:v>horas</x:v>
      </x:c>
      <x:c r="F47" s="61" t="str">
        <x:v>2025. Janela a confirmar</x:v>
      </x:c>
      <x:c r="G47" s="61" t="str">
        <x:v>Executado, reportado</x:v>
      </x:c>
      <x:c r="H47" s="61" t="str">
        <x:v>Microsoft. Autorrelato</x:v>
      </x:c>
      <x:c r="I47" s="61" t="str">
        <x:v>Não somar às doações monetárias; não multiplicar por salário sem metodologia de valoração.</x:v>
      </x:c>
      <x:c r="J47" s="61" t="str">
        <x:v>employee_volunteer_hours</x:v>
      </x:c>
    </x:row>
    <x:row r="48" ht="68" customHeight="1">
      <x:c r="A48" s="2"/>
      <x:c r="B48" s="2"/>
      <x:c r="C48" s="21" t="str">
        <x:v>Compromisso global Elevate de mais de US$4 bilhões em dinheiro e tecnologia AI/cloud</x:v>
      </x:c>
      <x:c r="D48" s="80" t="n">
        <x:f>IF(ISNUMBER('Dados'!C97),'Dados'!C97/1000000,"N/D")</x:f>
        <x:v>4000</x:v>
      </x:c>
      <x:c r="E48" s="59" t="str">
        <x:v>USD milhões</x:v>
      </x:c>
      <x:c r="F48" s="21" t="str">
        <x:v>Após 09/07/2025. Futuro</x:v>
      </x:c>
      <x:c r="G48" s="21" t="str">
        <x:v>Anunciado</x:v>
      </x:c>
      <x:c r="H48" s="21" t="str">
        <x:v>Microsoft. Autorrelato</x:v>
      </x:c>
      <x:c r="I48" s="21" t="str">
        <x:v>Anunciado após fechamento FY25, mesmo citado na carta anual. Não é desembolso FY25; valor de tecnologia não equivale a custo marginal ou caixa. Sem divisão dinheiro/tecnologia nem tratamento fiscal por programa.</x:v>
      </x:c>
      <x:c r="J48" s="21" t="str">
        <x:v>elevate_pledge</x:v>
      </x:c>
    </x:row>
    <x:row r="49" ht="40" customHeight="1">
      <x:c r="A49" s="2"/>
      <x:c r="B49" s="2"/>
      <x:c r="C49" s="61" t="str">
        <x:v>Meta de pessoas com credencial em AI</x:v>
      </x:c>
      <x:c r="D49" s="62" t="n">
        <x:f>IF(ISNUMBER('Dados'!C98),'Dados'!C98,"N/D")</x:f>
        <x:v>20000000</x:v>
      </x:c>
      <x:c r="E49" s="63" t="str">
        <x:v>pessoas</x:v>
      </x:c>
      <x:c r="F49" s="61" t="str">
        <x:v>Após 09/07/2025. Futuro</x:v>
      </x:c>
      <x:c r="G49" s="61" t="str">
        <x:v>Meta anunciada</x:v>
      </x:c>
      <x:c r="H49" s="61" t="str">
        <x:v>Microsoft. Autorrelato</x:v>
      </x:c>
      <x:c r="I49" s="61" t="str">
        <x:v>Credencial não comprova emprego/renda adicional; não registrar meta como conclusão.</x:v>
      </x:c>
      <x:c r="J49" s="61" t="str">
        <x:v>elevate_credentials_target</x:v>
      </x:c>
    </x:row>
    <x:row r="50" ht="40" customHeight="1">
      <x:c r="A50" s="2"/>
      <x:c r="B50" s="2"/>
      <x:c r="C50" s="21" t="str">
        <x:v>Participantes acumulados de AI Skilling focado em acessibilidade, mais de5 milhões</x:v>
      </x:c>
      <x:c r="D50" s="73" t="n">
        <x:f>IF(ISNUMBER('Dados'!C99),'Dados'!C99,"N/D")</x:f>
        <x:v>5000000</x:v>
      </x:c>
      <x:c r="E50" s="59" t="str">
        <x:v>pessoas</x:v>
      </x:c>
      <x:c r="F50" s="21" t="str">
        <x:v>Acumulado. Janela não definida</x:v>
      </x:c>
      <x:c r="G50" s="21" t="str">
        <x:v>Executado, reportado</x:v>
      </x:c>
      <x:c r="H50" s="21" t="str">
        <x:v>Microsoft. Autorrelato</x:v>
      </x:c>
      <x:c r="I50" s="21" t="str">
        <x:v>Participação não é certificação/conclusão/emprego. Possível sobreposição com outras iniciativas; sem desagregação.</x:v>
      </x:c>
      <x:c r="J50" s="21" t="str">
        <x:v>ai_accessibility_participants</x:v>
      </x:c>
    </x:row>
    <x:row r="51" ht="40" customHeight="1">
      <x:c r="A51" s="2"/>
      <x:c r="B51" s="2"/>
      <x:c r="C51" s="61" t="str">
        <x:v>Total de doações corporativas em dinheiro FY25 isolado</x:v>
      </x:c>
      <x:c r="D51" s="77" t="str">
        <x:f>IF(ISNUMBER('Dados'!C100),'Dados'!C100/1000000,"N/D")</x:f>
        <x:v>N/D</x:v>
      </x:c>
      <x:c r="E51" s="63" t="str">
        <x:v>USD milhões</x:v>
      </x:c>
      <x:c r="F51" s="61" t="str">
        <x:v>FY2025</x:v>
      </x:c>
      <x:c r="G51" s="61" t="str">
        <x:v>Não identificado</x:v>
      </x:c>
      <x:c r="H51" s="61" t="str">
        <x:v>Microsoft. Autorrelato</x:v>
      </x:c>
      <x:c r="I51" s="61" t="str">
        <x:v>Não encontrado total FY25 separado da contribuição dos empregados e sem sobreposição. Não é zero.</x:v>
      </x:c>
      <x:c r="J51" s="61" t="str">
        <x:v>corp_cash_giving_fy25</x:v>
      </x:c>
    </x:row>
    <x:row r="52" ht="54" customHeight="1">
      <x:c r="A52" s="2"/>
      <x:c r="B52" s="2"/>
      <x:c r="C52" s="21" t="str">
        <x:v>Total FY25 separado de tecnologia doada e descontos concedidos</x:v>
      </x:c>
      <x:c r="D52" s="76" t="str">
        <x:f>IF(ISNUMBER('Dados'!C101),'Dados'!C101/1000000,"N/D")</x:f>
        <x:v>N/D</x:v>
      </x:c>
      <x:c r="E52" s="59" t="str">
        <x:v>USD milhões</x:v>
      </x:c>
      <x:c r="F52" s="21" t="str">
        <x:v>FY2025</x:v>
      </x:c>
      <x:c r="G52" s="21" t="str">
        <x:v>Não identificado</x:v>
      </x:c>
      <x:c r="H52" s="21" t="str">
        <x:v>Microsoft. Autorrelato</x:v>
      </x:c>
      <x:c r="I52" s="21" t="str">
        <x:v>Não transportar US$4,7B FY24 para FY25. Link atual Donations and volunteerism resolve para ficha2021. Desconto, preço de lista, custo da licença e desembolso são medidas diferentes.</x:v>
      </x:c>
      <x:c r="J52" s="21" t="str">
        <x:v>tech_giving_fy25</x:v>
      </x:c>
    </x:row>
    <x:row r="53" ht="40" customHeight="1">
      <x:c r="A53" s="2"/>
      <x:c r="B53" s="2"/>
      <x:c r="C53" s="61" t="str">
        <x:v>Empregados em tempo integral</x:v>
      </x:c>
      <x:c r="D53" s="62" t="n">
        <x:f>IF(ISNUMBER('Dados'!C102),'Dados'!C102,"N/D")</x:f>
        <x:v>228000</x:v>
      </x:c>
      <x:c r="E53" s="63" t="str">
        <x:v>pessoas</x:v>
      </x:c>
      <x:c r="F53" s="61" t="str">
        <x:v>Posição em 30/06/2025</x:v>
      </x:c>
      <x:c r="G53" s="61" t="str">
        <x:v>Executado, reportado</x:v>
      </x:c>
      <x:c r="H53" s="61" t="str">
        <x:v>Microsoft. Autorrelato</x:v>
      </x:c>
      <x:c r="I53" s="61" t="str">
        <x:v>125mil EUA/103mil internacional; não é saldo líquido de vagas criadas; não mede terceirizados ou qualidade do trabalho.</x:v>
      </x:c>
      <x:c r="J53" s="61" t="str">
        <x:v>employee_count</x:v>
      </x:c>
    </x:row>
    <x:row r="54" ht="54" customHeight="1">
      <x:c r="A54" s="2"/>
      <x:c r="B54" s="2"/>
      <x:c r="C54" s="21" t="str">
        <x:v>Benefícios previdenciários financiados pelo empregador, reconhecidos como despesa quando contribuídos</x:v>
      </x:c>
      <x:c r="D54" s="76" t="n">
        <x:f>IF(ISNUMBER('Dados'!C103),'Dados'!C103/1000000,"N/D")</x:f>
        <x:v>1800</x:v>
      </x:c>
      <x:c r="E54" s="59" t="str">
        <x:v>USD milhões</x:v>
      </x:c>
      <x:c r="F54" s="21" t="str">
        <x:v>FY2025</x:v>
      </x:c>
      <x:c r="G54" s="21" t="str">
        <x:v>Executado, reportado</x:v>
      </x:c>
      <x:c r="H54" s="21" t="str">
        <x:v>Deloitte. Demonstrações e notas auditadas</x:v>
      </x:c>
      <x:c r="I54" s="21" t="str">
        <x:v>Já integra despesas antes do lucro líquido; não subtrair novamente do lucro nem somar a outra rubrica de benefícios que o contenha. Não representa gasto total com trabalhadores.</x:v>
      </x:c>
      <x:c r="J54" s="21" t="str">
        <x:v>retirement_2025</x:v>
      </x:c>
    </x:row>
    <x:row r="55" ht="54" customHeight="1">
      <x:c r="A55" s="2"/>
      <x:c r="B55" s="2"/>
      <x:c r="C55" s="61" t="str">
        <x:v>Benefícios previdenciários financiados pelo empregador, reconhecidos como despesa quando contribuídos</x:v>
      </x:c>
      <x:c r="D55" s="77" t="n">
        <x:f>IF(ISNUMBER('Dados'!C104),'Dados'!C104/1000000,"N/D")</x:f>
        <x:v>1700</x:v>
      </x:c>
      <x:c r="E55" s="63" t="str">
        <x:v>USD milhões</x:v>
      </x:c>
      <x:c r="F55" s="61" t="str">
        <x:v>FY2024</x:v>
      </x:c>
      <x:c r="G55" s="61" t="str">
        <x:v>Executado, reportado</x:v>
      </x:c>
      <x:c r="H55" s="61" t="str">
        <x:v>Deloitte. Demonstrações e notas auditadas</x:v>
      </x:c>
      <x:c r="I55" s="61" t="str">
        <x:v>Já integra despesas antes do lucro líquido; não subtrair novamente do lucro nem somar a outra rubrica de benefícios que o contenha. Não representa gasto total com trabalhadores.</x:v>
      </x:c>
      <x:c r="J55" s="61" t="str">
        <x:v>retirement_2024</x:v>
      </x:c>
    </x:row>
    <x:row r="56" ht="54" customHeight="1">
      <x:c r="A56" s="2"/>
      <x:c r="B56" s="2"/>
      <x:c r="C56" s="21" t="str">
        <x:v>Benefícios previdenciários financiados pelo empregador, reconhecidos como despesa quando contribuídos</x:v>
      </x:c>
      <x:c r="D56" s="76" t="n">
        <x:f>IF(ISNUMBER('Dados'!C105),'Dados'!C105/1000000,"N/D")</x:f>
        <x:v>1600</x:v>
      </x:c>
      <x:c r="E56" s="59" t="str">
        <x:v>USD milhões</x:v>
      </x:c>
      <x:c r="F56" s="21" t="str">
        <x:v>FY2023</x:v>
      </x:c>
      <x:c r="G56" s="21" t="str">
        <x:v>Executado, reportado</x:v>
      </x:c>
      <x:c r="H56" s="21" t="str">
        <x:v>Deloitte. Demonstrações e notas auditadas</x:v>
      </x:c>
      <x:c r="I56" s="21" t="str">
        <x:v>Já integra despesas antes do lucro líquido; não subtrair novamente do lucro nem somar a outra rubrica de benefícios que o contenha. Não representa gasto total com trabalhadores.</x:v>
      </x:c>
      <x:c r="J56" s="21" t="str">
        <x:v>retirement_2023</x:v>
      </x:c>
    </x:row>
    <x:row r="57" ht="54" customHeight="1">
      <x:c r="A57" s="2"/>
      <x:c r="B57" s="2"/>
      <x:c r="C57" s="61" t="str">
        <x:v>Acesso a aprendizagem contínua interna e externa; total de horas/custo FY25 não identificado</x:v>
      </x:c>
      <x:c r="D57" s="62" t="str">
        <x:f>IF(ISNUMBER('Dados'!C106),'Dados'!C106,"N/D")</x:f>
        <x:v>N/D</x:v>
      </x:c>
      <x:c r="E57" s="63" t="str">
        <x:v>horas / USD</x:v>
      </x:c>
      <x:c r="F57" s="61" t="str">
        <x:v>FY2025</x:v>
      </x:c>
      <x:c r="G57" s="61" t="str">
        <x:v>Qualitativo, sem valor</x:v>
      </x:c>
      <x:c r="H57" s="61" t="str">
        <x:v>Microsoft. Autorrelato</x:v>
      </x:c>
      <x:c r="I57" s="61" t="str">
        <x:v>Sem taxa de promoção interna, remuneração mediana global comparável, satisfação FY25 ou custo específico de formação nas fontes examinadas. Não converter gasto total de P&amp;D em formação ou humanização.</x:v>
      </x:c>
      <x:c r="J57" s="61" t="str">
        <x:v>employee_training</x:v>
      </x:c>
    </x:row>
    <x:row r="58" ht="82" customHeight="1">
      <x:c r="A58" s="2"/>
      <x:c r="B58" s="2"/>
      <x:c r="C58" s="21" t="str">
        <x:v>Gateway Technical College confirma oferta de certificado IT–Microsoft Data Center, apoio financeiro a estudantes e bootcamp de educadores em2024</x:v>
      </x:c>
      <x:c r="D58" s="60" t="str">
        <x:f>IF(ISNUMBER('Dados'!C107),'Dados'!C107,"N/D")</x:f>
        <x:v>N/D</x:v>
      </x:c>
      <x:c r="E58" s="59" t="str">
        <x:v>USD milhões</x:v>
      </x:c>
      <x:c r="F58" s="21" t="str">
        <x:v>relatório acadêmico2024–2025; evento verão2024</x:v>
      </x:c>
      <x:c r="G58" s="21" t="str">
        <x:v>Executado, reportado</x:v>
      </x:c>
      <x:c r="H58" s="21" t="str">
        <x:v>Parceiro executor. Corroboração</x:v>
      </x:c>
      <x:c r="I58" s="21" t="str">
        <x:v>Certificado de dois semestres e quatro disciplinas. Valor exato, participantes, concluintes, emprego e salários não quantificados no trecho. Depoimento estudantil é evidência qualitativa, não resultado causal ou amostra representativa. Parceiro recebe apoio e não é avaliador independente.</x:v>
      </x:c>
      <x:c r="J58" s="21" t="str">
        <x:v>gateway_program</x:v>
      </x:c>
    </x:row>
    <x:row r="59" ht="54" customHeight="1">
      <x:c r="A59" s="2"/>
      <x:c r="B59" s="2"/>
      <x:c r="C59" s="61" t="str">
        <x:v>Climate Innovation Fund: capital alocado a67 investidas desde2020</x:v>
      </x:c>
      <x:c r="D59" s="77" t="n">
        <x:f>IF(ISNUMBER('Dados'!C108),'Dados'!C108/1000000,"N/D")</x:f>
        <x:v>815</x:v>
      </x:c>
      <x:c r="E59" s="63" t="str">
        <x:v>USD milhões</x:v>
      </x:c>
      <x:c r="F59" s="61" t="str">
        <x:v>Acumulado desde 2020</x:v>
      </x:c>
      <x:c r="G59" s="61" t="str">
        <x:v>Alocado, reportado</x:v>
      </x:c>
      <x:c r="H59" s="61" t="str">
        <x:v>Microsoft. Autorrelato</x:v>
      </x:c>
      <x:c r="I59" s="61" t="str">
        <x:v>Mandato de US$1B não é desembolso adicional. Alocado não demonstra integralmente pago; pode gerar retorno financeiro. Não lançar automaticamente como filantropia nem penalizar sem analisar finalidade ambiental.</x:v>
      </x:c>
      <x:c r="J59" s="61" t="str">
        <x:v>climate_fund_allocated</x:v>
      </x:c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5" customHeight="1">
      <x:c r="A62" s="2"/>
      <x:c r="B62" s="2"/>
      <x:c r="C62" s="41" t="str">
        <x:v>Solicitações de esclarecimento. Nenhuma mensagem enviada</x:v>
      </x:c>
      <x:c r="D62" s="41"/>
      <x:c r="E62" s="41"/>
      <x:c r="F62" s="41"/>
      <x:c r="G62" s="41"/>
      <x:c r="H62" s="41"/>
      <x:c r="I62" s="41"/>
      <x:c r="J62" s="41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30" customHeight="1">
      <x:c r="A64" s="2"/>
      <x:c r="B64" s="2"/>
      <x:c r="C64" s="15" t="str">
        <x:v>Tema</x:v>
      </x:c>
      <x:c r="D64" s="82" t="str">
        <x:v>Documento ou esclarecimento solicitado</x:v>
      </x:c>
      <x:c r="E64" s="83"/>
      <x:c r="F64" s="83"/>
      <x:c r="G64" s="83"/>
      <x:c r="H64" s="83"/>
      <x:c r="I64" s="83"/>
      <x:c r="J64" s="83"/>
    </x:row>
    <x:row r="65" ht="43" customHeight="1">
      <x:c r="A65" s="2"/>
      <x:c r="B65" s="2"/>
      <x:c r="C65" s="21" t="str">
        <x:v>Doações corporativas FY2025</x:v>
      </x:c>
      <x:c r="D65" s="81" t="str">
        <x:v>Separar caixa próprio, contrapartida empresarial, dinheiro dos empregados, tecnologia e descontos. Conciliar beneficiários, datas e comprovantes sem dupla contagem.</x:v>
      </x:c>
      <x:c r="E65" s="2"/>
      <x:c r="F65" s="2"/>
      <x:c r="G65" s="2"/>
      <x:c r="H65" s="2"/>
      <x:c r="I65" s="2"/>
      <x:c r="J65" s="2"/>
    </x:row>
    <x:row r="66" ht="43" customHeight="1">
      <x:c r="A66" s="2"/>
      <x:c r="B66" s="2"/>
      <x:c r="C66" s="21" t="str">
        <x:v>Doações de 263,0 e 255,6 milhões USD</x:v>
      </x:c>
      <x:c r="D66" s="81" t="str">
        <x:v>Confirmar a janela temporal e o perímetro de cada divulgação. A diferença não constitui desvio demonstrado.</x:v>
      </x:c>
      <x:c r="E66" s="2"/>
      <x:c r="F66" s="2"/>
      <x:c r="G66" s="2"/>
      <x:c r="H66" s="2"/>
      <x:c r="I66" s="2"/>
      <x:c r="J66" s="2"/>
    </x:row>
    <x:row r="67" ht="43" customHeight="1">
      <x:c r="A67" s="2"/>
      <x:c r="B67" s="2"/>
      <x:c r="C67" s="21" t="str">
        <x:v>Valorização dos trabalhadores</x:v>
      </x:c>
      <x:c r="D67" s="81" t="str">
        <x:v>Informar formação interna, progressão, satisfação, remuneração e qualidade do trabalho com cobertura, metodologia e período.</x:v>
      </x:c>
      <x:c r="E67" s="2"/>
      <x:c r="F67" s="2"/>
      <x:c r="G67" s="2"/>
      <x:c r="H67" s="2"/>
      <x:c r="I67" s="2"/>
      <x:c r="J67" s="2"/>
    </x:row>
    <x:row r="68" ht="43" customHeight="1">
      <x:c r="A68" s="2"/>
      <x:c r="B68" s="2"/>
      <x:c r="C68" s="21" t="str">
        <x:v>Projetos ambientais</x:v>
      </x:c>
      <x:c r="D68" s="81" t="str">
        <x:v>Distinguir contratos, pagamentos, entregas verificadas, projeções e estoque acumulado. Apresentar resultados por local e bacia.</x:v>
      </x:c>
      <x:c r="E68" s="2"/>
      <x:c r="F68" s="2"/>
      <x:c r="G68" s="2"/>
      <x:c r="H68" s="2"/>
      <x:c r="I68" s="2"/>
      <x:c r="J68" s="2"/>
    </x:row>
    <x:row r="69" ht="43" customHeight="1">
      <x:c r="A69" s="2"/>
      <x:c r="B69" s="2"/>
      <x:c r="C69" s="21" t="str">
        <x:v>Benefícios fiscais e apoio público</x:v>
      </x:c>
      <x:c r="D69" s="81" t="str">
        <x:v>Informar incentivo por projeto e custo líquido somente quando conciliável. Nenhum benefício fiscal foi presumido.</x:v>
      </x:c>
      <x:c r="E69" s="2"/>
      <x:c r="F69" s="2"/>
      <x:c r="G69" s="2"/>
      <x:c r="H69" s="2"/>
      <x:c r="I69" s="2"/>
      <x:c r="J69" s="2"/>
    </x:row>
    <x:row r="70" ht="43" customHeight="1">
      <x:c r="A70" s="2"/>
      <x:c r="B70" s="2"/>
      <x:c r="C70" s="21" t="str">
        <x:v>Humanização tecnológica</x:v>
      </x:c>
      <x:c r="D70" s="81" t="str">
        <x:v>Apresentar resultados de formação e emprego com população, linha de base e método de avaliação. Participação ou certificado não prova emprego causado.</x:v>
      </x:c>
      <x:c r="E70" s="2"/>
      <x:c r="F70" s="2"/>
      <x:c r="G70" s="2"/>
      <x:c r="H70" s="2"/>
      <x:c r="I70" s="2"/>
      <x:c r="J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 ht="22" customHeight="1">
      <x:c r="A73" s="2"/>
      <x:c r="B73" s="2"/>
      <x:c r="C73" s="2" t="str">
        <x:v>Nenhum selo, nota moral ou certificação de impacto foi atribuído. Promessas e resultados reportados têm estados distintos.</x:v>
      </x:c>
      <x:c r="D73" s="2"/>
      <x:c r="E73" s="2"/>
      <x:c r="F73" s="2"/>
      <x:c r="G73" s="2"/>
      <x:c r="H73" s="2"/>
      <x:c r="I73" s="2"/>
      <x:c r="J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</x:sheetData>
  <x:conditionalFormatting sqref="G16:G59">
    <x:cfRule type="containsText" dxfId="3" priority="1" operator="containsText" text="Não identificado"/>
    <x:cfRule type="containsText" dxfId="4" priority="2" operator="containsText" text="Anunciado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7D9C4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36" hidden="0" customWidth="1"/>
    <x:col min="2" max="2" width="64" hidden="0" customWidth="1"/>
    <x:col min="3" max="3" width="19" hidden="0" customWidth="1"/>
    <x:col min="4" max="4" width="19" hidden="0" customWidth="1"/>
    <x:col min="5" max="5" width="23" hidden="0" customWidth="1"/>
    <x:col min="6" max="6" width="28" hidden="0" customWidth="1"/>
    <x:col min="7" max="7" width="3" hidden="0" customWidth="1"/>
    <x:col min="8" max="8" width="16" hidden="0" customWidth="1"/>
    <x:col min="9" max="9" width="26" hidden="0" customWidth="1"/>
    <x:col min="10" max="10" width="31" hidden="0" customWidth="1"/>
    <x:col min="11" max="11" width="43" hidden="0" customWidth="1"/>
    <x:col min="12" max="12" width="7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9" customHeight="1">
      <x:c r="A2" s="4" t="str">
        <x:v>Dados originais e fontes por campo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2" customHeight="1">
      <x:c r="A3" s="6" t="str">
        <x:v>Consulta documental em 18/09/2026. Célula vazia significa dado não identificado. Códigos de fonte remetem ao registro de URLs no fim desta aba.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15" t="str">
        <x:v>ID</x:v>
      </x:c>
      <x:c r="B5" s="16" t="str">
        <x:v>Indicador</x:v>
      </x:c>
      <x:c r="C5" s="16" t="str">
        <x:v>Unidade</x:v>
      </x:c>
      <x:c r="D5" s="16" t="str">
        <x:v>FY2023</x:v>
      </x:c>
      <x:c r="E5" s="16" t="str">
        <x:v>FY2024</x:v>
      </x:c>
      <x:c r="F5" s="16" t="str">
        <x:v>FY2025</x:v>
      </x:c>
      <x:c r="G5" s="18" t="str"/>
      <x:c r="H5" s="16" t="str">
        <x:v>Fonte FY23</x:v>
      </x:c>
      <x:c r="I5" s="16" t="str">
        <x:v>Fonte FY24</x:v>
      </x:c>
      <x:c r="J5" s="16" t="str">
        <x:v>Fonte FY25</x:v>
      </x:c>
      <x:c r="K5" s="16" t="str">
        <x:v>Seção</x:v>
      </x:c>
      <x:c r="L5" s="17" t="str">
        <x:v>Observação</x:v>
      </x:c>
    </x:row>
    <x:row r="6" ht="32" customHeight="1">
      <x:c r="A6" s="21" t="str">
        <x:v>metric.revenue</x:v>
      </x:c>
      <x:c r="B6" s="21" t="str">
        <x:v>Receita</x:v>
      </x:c>
      <x:c r="C6" s="21" t="str">
        <x:v>USD million</x:v>
      </x:c>
      <x:c r="D6" s="22" t="n">
        <x:v>211915</x:v>
      </x:c>
      <x:c r="E6" s="22" t="n">
        <x:v>245122</x:v>
      </x:c>
      <x:c r="F6" s="22" t="n">
        <x:v>281724</x:v>
      </x:c>
      <x:c r="G6" s="21"/>
      <x:c r="H6" s="21" t="str">
        <x:v>AR2025</x:v>
      </x:c>
      <x:c r="I6" s="21" t="str">
        <x:v>AR2025</x:v>
      </x:c>
      <x:c r="J6" s="21" t="str">
        <x:v>AR2025</x:v>
      </x:c>
      <x:c r="K6" s="21" t="str">
        <x:v>Statements of Income</x:v>
      </x:c>
      <x:c r="L6" s="21" t="str"/>
    </x:row>
    <x:row r="7" ht="32" customHeight="1">
      <x:c r="A7" s="21" t="str">
        <x:v>metric.net_income</x:v>
      </x:c>
      <x:c r="B7" s="21" t="str">
        <x:v>Lucro líquido</x:v>
      </x:c>
      <x:c r="C7" s="21" t="str">
        <x:v>USD million</x:v>
      </x:c>
      <x:c r="D7" s="22" t="n">
        <x:v>72361</x:v>
      </x:c>
      <x:c r="E7" s="22" t="n">
        <x:v>88136</x:v>
      </x:c>
      <x:c r="F7" s="22" t="n">
        <x:v>101832</x:v>
      </x:c>
      <x:c r="G7" s="21"/>
      <x:c r="H7" s="21" t="str">
        <x:v>AR2025</x:v>
      </x:c>
      <x:c r="I7" s="21" t="str">
        <x:v>AR2025</x:v>
      </x:c>
      <x:c r="J7" s="21" t="str">
        <x:v>AR2025</x:v>
      </x:c>
      <x:c r="K7" s="21" t="str">
        <x:v>Statements of Income</x:v>
      </x:c>
      <x:c r="L7" s="21" t="str"/>
    </x:row>
    <x:row r="8" ht="32" customHeight="1">
      <x:c r="A8" s="21" t="str">
        <x:v>metric.research_development</x:v>
      </x:c>
      <x:c r="B8" s="21" t="str">
        <x:v>Pesquisa e desenvolvimento (despesa)</x:v>
      </x:c>
      <x:c r="C8" s="21" t="str">
        <x:v>USD million</x:v>
      </x:c>
      <x:c r="D8" s="22" t="n">
        <x:v>27195</x:v>
      </x:c>
      <x:c r="E8" s="22" t="n">
        <x:v>29510</x:v>
      </x:c>
      <x:c r="F8" s="22" t="n">
        <x:v>32488</x:v>
      </x:c>
      <x:c r="G8" s="21"/>
      <x:c r="H8" s="21" t="str">
        <x:v>AR2025</x:v>
      </x:c>
      <x:c r="I8" s="21" t="str">
        <x:v>AR2025</x:v>
      </x:c>
      <x:c r="J8" s="21" t="str">
        <x:v>AR2025</x:v>
      </x:c>
      <x:c r="K8" s="21" t="str">
        <x:v>Statements of Income</x:v>
      </x:c>
      <x:c r="L8" s="21" t="str">
        <x:v>Despesa reconhecida antes do lucro; não destinação do lucro líquido.</x:v>
      </x:c>
    </x:row>
    <x:row r="9" ht="32" customHeight="1">
      <x:c r="A9" s="21" t="str">
        <x:v>metric.operating_income</x:v>
      </x:c>
      <x:c r="B9" s="21" t="str">
        <x:v>Lucro operacional</x:v>
      </x:c>
      <x:c r="C9" s="21" t="str">
        <x:v>USD million</x:v>
      </x:c>
      <x:c r="D9" s="22" t="n">
        <x:v>88523</x:v>
      </x:c>
      <x:c r="E9" s="22" t="n">
        <x:v>109433</x:v>
      </x:c>
      <x:c r="F9" s="22" t="n">
        <x:v>128528</x:v>
      </x:c>
      <x:c r="G9" s="21"/>
      <x:c r="H9" s="21" t="str">
        <x:v>AR2025</x:v>
      </x:c>
      <x:c r="I9" s="21" t="str">
        <x:v>AR2025</x:v>
      </x:c>
      <x:c r="J9" s="21" t="str">
        <x:v>AR2025</x:v>
      </x:c>
      <x:c r="K9" s="21" t="str">
        <x:v>Statements of Income</x:v>
      </x:c>
      <x:c r="L9" s="21" t="str"/>
    </x:row>
    <x:row r="10" ht="32" customHeight="1">
      <x:c r="A10" s="21" t="str">
        <x:v>metric.income_before_tax</x:v>
      </x:c>
      <x:c r="B10" s="21" t="str">
        <x:v>Lucro antes de impostos</x:v>
      </x:c>
      <x:c r="C10" s="21" t="str">
        <x:v>USD million</x:v>
      </x:c>
      <x:c r="D10" s="22" t="n">
        <x:v>89311</x:v>
      </x:c>
      <x:c r="E10" s="22" t="n">
        <x:v>107787</x:v>
      </x:c>
      <x:c r="F10" s="22" t="n">
        <x:v>123627</x:v>
      </x:c>
      <x:c r="G10" s="21"/>
      <x:c r="H10" s="21" t="str">
        <x:v>AR2025</x:v>
      </x:c>
      <x:c r="I10" s="21" t="str">
        <x:v>AR2025</x:v>
      </x:c>
      <x:c r="J10" s="21" t="str">
        <x:v>AR2025</x:v>
      </x:c>
      <x:c r="K10" s="21" t="str">
        <x:v>Statements of Income</x:v>
      </x:c>
      <x:c r="L10" s="21" t="str"/>
    </x:row>
    <x:row r="11" ht="32" customHeight="1">
      <x:c r="A11" s="21" t="str">
        <x:v>metric.income_tax_provision</x:v>
      </x:c>
      <x:c r="B11" s="21" t="str">
        <x:v>Provisão de imposto sobre a renda</x:v>
      </x:c>
      <x:c r="C11" s="21" t="str">
        <x:v>USD million</x:v>
      </x:c>
      <x:c r="D11" s="22" t="n">
        <x:v>16950</x:v>
      </x:c>
      <x:c r="E11" s="22" t="n">
        <x:v>19651</x:v>
      </x:c>
      <x:c r="F11" s="22" t="n">
        <x:v>21795</x:v>
      </x:c>
      <x:c r="G11" s="21"/>
      <x:c r="H11" s="21" t="str">
        <x:v>AR2025</x:v>
      </x:c>
      <x:c r="I11" s="21" t="str">
        <x:v>AR2025</x:v>
      </x:c>
      <x:c r="J11" s="21" t="str">
        <x:v>AR2025</x:v>
      </x:c>
      <x:c r="K11" s="21" t="str">
        <x:v>Statements of Income</x:v>
      </x:c>
      <x:c r="L11" s="21" t="str"/>
    </x:row>
    <x:row r="12" ht="32" customHeight="1">
      <x:c r="A12" s="21" t="str">
        <x:v>metric.cfo</x:v>
      </x:c>
      <x:c r="B12" s="21" t="str">
        <x:v>Fluxo de caixa operacional (CFO)</x:v>
      </x:c>
      <x:c r="C12" s="21" t="str">
        <x:v>USD million</x:v>
      </x:c>
      <x:c r="D12" s="22" t="n">
        <x:v>87582</x:v>
      </x:c>
      <x:c r="E12" s="22" t="n">
        <x:v>118548</x:v>
      </x:c>
      <x:c r="F12" s="22" t="n">
        <x:v>136162</x:v>
      </x:c>
      <x:c r="G12" s="21"/>
      <x:c r="H12" s="21" t="str">
        <x:v>AR2025</x:v>
      </x:c>
      <x:c r="I12" s="21" t="str">
        <x:v>AR2025</x:v>
      </x:c>
      <x:c r="J12" s="21" t="str">
        <x:v>AR2025</x:v>
      </x:c>
      <x:c r="K12" s="21" t="str">
        <x:v>Statements of Cash Flows</x:v>
      </x:c>
      <x:c r="L12" s="21" t="str"/>
    </x:row>
    <x:row r="13" ht="38" customHeight="1">
      <x:c r="A13" s="21" t="str">
        <x:v>metric.cash_capex</x:v>
      </x:c>
      <x:c r="B13" s="21" t="str">
        <x:v>Capex de caixa: adições ao imobilizado, magnitude positiva</x:v>
      </x:c>
      <x:c r="C13" s="21" t="str">
        <x:v>USD million</x:v>
      </x:c>
      <x:c r="D13" s="22" t="n">
        <x:v>28107</x:v>
      </x:c>
      <x:c r="E13" s="22" t="n">
        <x:v>44477</x:v>
      </x:c>
      <x:c r="F13" s="22" t="n">
        <x:v>64551</x:v>
      </x:c>
      <x:c r="G13" s="21"/>
      <x:c r="H13" s="21" t="str">
        <x:v>AR2025</x:v>
      </x:c>
      <x:c r="I13" s="21" t="str">
        <x:v>AR2025</x:v>
      </x:c>
      <x:c r="J13" s="21" t="str">
        <x:v>AR2025</x:v>
      </x:c>
      <x:c r="K13" s="21" t="str">
        <x:v>Statements of Cash Flows</x:v>
      </x:c>
      <x:c r="L13" s="21" t="str">
        <x:v>Na demonstração de fluxo aparece com sinal negativo. Exclui adições não monetárias de leasing financeiro.</x:v>
      </x:c>
    </x:row>
    <x:row r="14" ht="32" customHeight="1">
      <x:c r="A14" s="21" t="str">
        <x:v>metric.cfi</x:v>
      </x:c>
      <x:c r="B14" s="21" t="str">
        <x:v>Fluxo de caixa de investimentos (CFI)</x:v>
      </x:c>
      <x:c r="C14" s="21" t="str">
        <x:v>USD million</x:v>
      </x:c>
      <x:c r="D14" s="22" t="n">
        <x:v>-22680</x:v>
      </x:c>
      <x:c r="E14" s="22" t="n">
        <x:v>-96970</x:v>
      </x:c>
      <x:c r="F14" s="22" t="n">
        <x:v>-72599</x:v>
      </x:c>
      <x:c r="G14" s="21"/>
      <x:c r="H14" s="21" t="str">
        <x:v>AR2025</x:v>
      </x:c>
      <x:c r="I14" s="21" t="str">
        <x:v>AR2025</x:v>
      </x:c>
      <x:c r="J14" s="21" t="str">
        <x:v>AR2025</x:v>
      </x:c>
      <x:c r="K14" s="21" t="str">
        <x:v>Statements of Cash Flows</x:v>
      </x:c>
      <x:c r="L14" s="21" t="str"/>
    </x:row>
    <x:row r="15" ht="32" customHeight="1">
      <x:c r="A15" s="21" t="str">
        <x:v>metric.cff</x:v>
      </x:c>
      <x:c r="B15" s="21" t="str">
        <x:v>Fluxo de caixa de financiamento (CFF)</x:v>
      </x:c>
      <x:c r="C15" s="21" t="str">
        <x:v>USD million</x:v>
      </x:c>
      <x:c r="D15" s="22" t="n">
        <x:v>-43935</x:v>
      </x:c>
      <x:c r="E15" s="22" t="n">
        <x:v>-37757</x:v>
      </x:c>
      <x:c r="F15" s="22" t="n">
        <x:v>-51699</x:v>
      </x:c>
      <x:c r="G15" s="21"/>
      <x:c r="H15" s="21" t="str">
        <x:v>AR2025</x:v>
      </x:c>
      <x:c r="I15" s="21" t="str">
        <x:v>AR2025</x:v>
      </x:c>
      <x:c r="J15" s="21" t="str">
        <x:v>AR2025</x:v>
      </x:c>
      <x:c r="K15" s="21" t="str">
        <x:v>Statements of Cash Flows</x:v>
      </x:c>
      <x:c r="L15" s="21" t="str"/>
    </x:row>
    <x:row r="16" ht="32" customHeight="1">
      <x:c r="A16" s="21" t="str">
        <x:v>metric.fx_effect</x:v>
      </x:c>
      <x:c r="B16" s="21" t="str">
        <x:v>Efeito cambial no caixa e equivalentes</x:v>
      </x:c>
      <x:c r="C16" s="21" t="str">
        <x:v>USD million</x:v>
      </x:c>
      <x:c r="D16" s="22" t="n">
        <x:v>-194</x:v>
      </x:c>
      <x:c r="E16" s="22" t="n">
        <x:v>-210</x:v>
      </x:c>
      <x:c r="F16" s="22" t="n">
        <x:v>63</x:v>
      </x:c>
      <x:c r="G16" s="21"/>
      <x:c r="H16" s="21" t="str">
        <x:v>AR2025</x:v>
      </x:c>
      <x:c r="I16" s="21" t="str">
        <x:v>AR2025</x:v>
      </x:c>
      <x:c r="J16" s="21" t="str">
        <x:v>AR2025</x:v>
      </x:c>
      <x:c r="K16" s="21" t="str">
        <x:v>Statements of Cash Flows</x:v>
      </x:c>
      <x:c r="L16" s="21" t="str"/>
    </x:row>
    <x:row r="17" ht="32" customHeight="1">
      <x:c r="A17" s="21" t="str">
        <x:v>metric.cash_change</x:v>
      </x:c>
      <x:c r="B17" s="21" t="str">
        <x:v>Variação líquida do caixa</x:v>
      </x:c>
      <x:c r="C17" s="21" t="str">
        <x:v>USD million</x:v>
      </x:c>
      <x:c r="D17" s="22" t="n">
        <x:v>20773</x:v>
      </x:c>
      <x:c r="E17" s="22" t="n">
        <x:v>-16389</x:v>
      </x:c>
      <x:c r="F17" s="22" t="n">
        <x:v>11927</x:v>
      </x:c>
      <x:c r="G17" s="21"/>
      <x:c r="H17" s="21" t="str">
        <x:v>AR2025</x:v>
      </x:c>
      <x:c r="I17" s="21" t="str">
        <x:v>AR2025</x:v>
      </x:c>
      <x:c r="J17" s="21" t="str">
        <x:v>AR2025</x:v>
      </x:c>
      <x:c r="K17" s="21" t="str">
        <x:v>Statements of Cash Flows</x:v>
      </x:c>
      <x:c r="L17" s="21" t="str"/>
    </x:row>
    <x:row r="18" ht="32" customHeight="1">
      <x:c r="A18" s="21" t="str">
        <x:v>metric.cash_begin</x:v>
      </x:c>
      <x:c r="B18" s="21" t="str">
        <x:v>Caixa e equivalentes no início</x:v>
      </x:c>
      <x:c r="C18" s="21" t="str">
        <x:v>USD million</x:v>
      </x:c>
      <x:c r="D18" s="22" t="n">
        <x:v>13931</x:v>
      </x:c>
      <x:c r="E18" s="22" t="n">
        <x:v>34704</x:v>
      </x:c>
      <x:c r="F18" s="22" t="n">
        <x:v>18315</x:v>
      </x:c>
      <x:c r="G18" s="21"/>
      <x:c r="H18" s="21" t="str">
        <x:v>AR2025</x:v>
      </x:c>
      <x:c r="I18" s="21" t="str">
        <x:v>AR2025</x:v>
      </x:c>
      <x:c r="J18" s="21" t="str">
        <x:v>AR2025</x:v>
      </x:c>
      <x:c r="K18" s="21" t="str">
        <x:v>Statements of Cash Flows</x:v>
      </x:c>
      <x:c r="L18" s="21" t="str"/>
    </x:row>
    <x:row r="19" ht="32" customHeight="1">
      <x:c r="A19" s="21" t="str">
        <x:v>metric.cash_end</x:v>
      </x:c>
      <x:c r="B19" s="21" t="str">
        <x:v>Caixa e equivalentes no fim</x:v>
      </x:c>
      <x:c r="C19" s="21" t="str">
        <x:v>USD million</x:v>
      </x:c>
      <x:c r="D19" s="22" t="n">
        <x:v>34704</x:v>
      </x:c>
      <x:c r="E19" s="22" t="n">
        <x:v>18315</x:v>
      </x:c>
      <x:c r="F19" s="22" t="n">
        <x:v>30242</x:v>
      </x:c>
      <x:c r="G19" s="21"/>
      <x:c r="H19" s="21" t="str">
        <x:v>AR2025</x:v>
      </x:c>
      <x:c r="I19" s="21" t="str">
        <x:v>AR2025</x:v>
      </x:c>
      <x:c r="J19" s="21" t="str">
        <x:v>AR2025</x:v>
      </x:c>
      <x:c r="K19" s="21" t="str">
        <x:v>Statements of Cash Flows</x:v>
      </x:c>
      <x:c r="L19" s="21" t="str"/>
    </x:row>
    <x:row r="20" ht="32" customHeight="1">
      <x:c r="A20" s="21" t="str">
        <x:v>metric.cash_dividends_paid</x:v>
      </x:c>
      <x:c r="B20" s="21" t="str">
        <x:v>Dividendos pagos: magnitude positiva</x:v>
      </x:c>
      <x:c r="C20" s="21" t="str">
        <x:v>USD million</x:v>
      </x:c>
      <x:c r="D20" s="22" t="n">
        <x:v>19800</x:v>
      </x:c>
      <x:c r="E20" s="22" t="n">
        <x:v>21771</x:v>
      </x:c>
      <x:c r="F20" s="22" t="n">
        <x:v>24082</x:v>
      </x:c>
      <x:c r="G20" s="21"/>
      <x:c r="H20" s="21" t="str">
        <x:v>AR2025</x:v>
      </x:c>
      <x:c r="I20" s="21" t="str">
        <x:v>AR2025</x:v>
      </x:c>
      <x:c r="J20" s="21" t="str">
        <x:v>AR2025</x:v>
      </x:c>
      <x:c r="K20" s="21" t="str">
        <x:v>Statements of Cash Flows</x:v>
      </x:c>
      <x:c r="L20" s="21" t="str"/>
    </x:row>
    <x:row r="21" ht="32" customHeight="1">
      <x:c r="A21" s="21" t="str">
        <x:v>metric.cash_buybacks</x:v>
      </x:c>
      <x:c r="B21" s="21" t="str">
        <x:v>Recompras pagas: magnitude positiva</x:v>
      </x:c>
      <x:c r="C21" s="21" t="str">
        <x:v>USD million</x:v>
      </x:c>
      <x:c r="D21" s="22" t="n">
        <x:v>22245</x:v>
      </x:c>
      <x:c r="E21" s="22" t="n">
        <x:v>17254</x:v>
      </x:c>
      <x:c r="F21" s="22" t="n">
        <x:v>18420</x:v>
      </x:c>
      <x:c r="G21" s="21"/>
      <x:c r="H21" s="21" t="str">
        <x:v>AR2025</x:v>
      </x:c>
      <x:c r="I21" s="21" t="str">
        <x:v>AR2025</x:v>
      </x:c>
      <x:c r="J21" s="21" t="str">
        <x:v>AR2025</x:v>
      </x:c>
      <x:c r="K21" s="21" t="str">
        <x:v>Statements of Cash Flows</x:v>
      </x:c>
      <x:c r="L21" s="21" t="str">
        <x:v>Abrange mais que a tabela dos programas autorizados.</x:v>
      </x:c>
    </x:row>
    <x:row r="22" ht="38" customHeight="1">
      <x:c r="A22" s="21" t="str">
        <x:v>metric.program_buybacks</x:v>
      </x:c>
      <x:c r="B22" s="21" t="str">
        <x:v>Recompras sob programas autorizados</x:v>
      </x:c>
      <x:c r="C22" s="21" t="str">
        <x:v>USD million</x:v>
      </x:c>
      <x:c r="D22" s="22" t="n">
        <x:v>18400</x:v>
      </x:c>
      <x:c r="E22" s="22" t="n">
        <x:v>11960</x:v>
      </x:c>
      <x:c r="F22" s="22" t="n">
        <x:v>13000</x:v>
      </x:c>
      <x:c r="G22" s="21"/>
      <x:c r="H22" s="21" t="str">
        <x:v>AR2025</x:v>
      </x:c>
      <x:c r="I22" s="21" t="str">
        <x:v>AR2025</x:v>
      </x:c>
      <x:c r="J22" s="21" t="str">
        <x:v>AR2025</x:v>
      </x:c>
      <x:c r="K22" s="21" t="str">
        <x:v>Note 15 — Stockholders Equity / Share Repurchases</x:v>
      </x:c>
      <x:c r="L22" s="21" t="str">
        <x:v>Exclui ações retidas para impostos de empregados. Não substituir por esta medida o fluxo total de recompras.</x:v>
      </x:c>
    </x:row>
    <x:row r="23" ht="38" customHeight="1">
      <x:c r="A23" s="21" t="str">
        <x:v>metric.employee_withholding_buybacks_rounded</x:v>
      </x:c>
      <x:c r="B23" s="21" t="str">
        <x:v>Ações retidas para impostos de empregados (valor arredondado)</x:v>
      </x:c>
      <x:c r="C23" s="21" t="str">
        <x:v>USD million</x:v>
      </x:c>
      <x:c r="D23" s="22" t="n">
        <x:v>3800</x:v>
      </x:c>
      <x:c r="E23" s="22" t="n">
        <x:v>5300</x:v>
      </x:c>
      <x:c r="F23" s="22" t="n">
        <x:v>5400</x:v>
      </x:c>
      <x:c r="G23" s="21"/>
      <x:c r="H23" s="21" t="str">
        <x:v>AR2025</x:v>
      </x:c>
      <x:c r="I23" s="21" t="str">
        <x:v>AR2025</x:v>
      </x:c>
      <x:c r="J23" s="21" t="str">
        <x:v>AR2025</x:v>
      </x:c>
      <x:c r="K23" s="21" t="str">
        <x:v>Note 15 — Stockholders Equity / Share Repurchases</x:v>
      </x:c>
      <x:c r="L23" s="21" t="str">
        <x:v>A nota informa 3,8; 5,3; 5,4 bilhões. Arredondamento impede atribuir a diferença exata entre tabelas só a esta rubrica.</x:v>
      </x:c>
    </x:row>
    <x:row r="24" ht="38" customHeight="1">
      <x:c r="A24" s="21" t="str">
        <x:v>metric.finance_lease_noncash_additions</x:v>
      </x:c>
      <x:c r="B24" s="21" t="str">
        <x:v>Ativos de direito de uso obtidos em novos arrendamentos financeiros</x:v>
      </x:c>
      <x:c r="C24" s="21" t="str">
        <x:v>USD million</x:v>
      </x:c>
      <x:c r="D24" s="22" t="n">
        <x:v>3128</x:v>
      </x:c>
      <x:c r="E24" s="22" t="n">
        <x:v>11633</x:v>
      </x:c>
      <x:c r="F24" s="22" t="n">
        <x:v>20511</x:v>
      </x:c>
      <x:c r="G24" s="21"/>
      <x:c r="H24" s="21" t="str">
        <x:v>AR2025</x:v>
      </x:c>
      <x:c r="I24" s="21" t="str">
        <x:v>AR2025</x:v>
      </x:c>
      <x:c r="J24" s="21" t="str">
        <x:v>AR2025</x:v>
      </x:c>
      <x:c r="K24" s="21" t="str">
        <x:v>Note 13 — Leases</x:v>
      </x:c>
      <x:c r="L24" s="21" t="str">
        <x:v>Adições não monetárias; não somar à conciliação de caixa.</x:v>
      </x:c>
    </x:row>
    <x:row r="25" ht="32" customHeight="1">
      <x:c r="A25" s="21" t="str">
        <x:v>metric.finance_lease_principal_cash</x:v>
      </x:c>
      <x:c r="B25" s="21" t="str">
        <x:v>Principal de arrendamentos financeiros pago</x:v>
      </x:c>
      <x:c r="C25" s="21" t="str">
        <x:v>USD million</x:v>
      </x:c>
      <x:c r="D25" s="22" t="n">
        <x:v>1056</x:v>
      </x:c>
      <x:c r="E25" s="22" t="n">
        <x:v>1286</x:v>
      </x:c>
      <x:c r="F25" s="22" t="n">
        <x:v>2283</x:v>
      </x:c>
      <x:c r="G25" s="21"/>
      <x:c r="H25" s="21" t="str">
        <x:v>AR2025</x:v>
      </x:c>
      <x:c r="I25" s="21" t="str">
        <x:v>AR2025</x:v>
      </x:c>
      <x:c r="J25" s="21" t="str">
        <x:v>AR2025</x:v>
      </x:c>
      <x:c r="K25" s="21" t="str">
        <x:v>Note 13 — Leases</x:v>
      </x:c>
      <x:c r="L25" s="21" t="str">
        <x:v>Já integra atividades de financiamento; não acrescentar novamente ao CFF.</x:v>
      </x:c>
    </x:row>
    <x:row r="26" ht="32" customHeight="1">
      <x:c r="A26" s="21" t="str">
        <x:v>metric.retained_earnings_end</x:v>
      </x:c>
      <x:c r="B26" s="21" t="str">
        <x:v>Lucros retidos no encerramento</x:v>
      </x:c>
      <x:c r="C26" s="21" t="str">
        <x:v>USD million</x:v>
      </x:c>
      <x:c r="D26" s="22" t="n">
        <x:v>118848</x:v>
      </x:c>
      <x:c r="E26" s="22" t="n">
        <x:v>173144</x:v>
      </x:c>
      <x:c r="F26" s="22" t="n">
        <x:v>237731</x:v>
      </x:c>
      <x:c r="G26" s="21"/>
      <x:c r="H26" s="21" t="str">
        <x:v>AR2025</x:v>
      </x:c>
      <x:c r="I26" s="21" t="str">
        <x:v>AR2025</x:v>
      </x:c>
      <x:c r="J26" s="21" t="str">
        <x:v>AR2025</x:v>
      </x:c>
      <x:c r="K26" s="21" t="str">
        <x:v>Statements of Stockholders Equity</x:v>
      </x:c>
      <x:c r="L26" s="21" t="str">
        <x:v>Estoque patrimonial; não é soma de lucros anuais ou caixa segregado.</x:v>
      </x:c>
    </x:row>
    <x:row r="27" ht="38" customHeight="1">
      <x:c r="A27" s="21" t="str">
        <x:v>metric.employees</x:v>
      </x:c>
      <x:c r="B27" s="21" t="str">
        <x:v>Empregados de tempo integral, aproximadamente</x:v>
      </x:c>
      <x:c r="C27" s="21" t="str">
        <x:v>people</x:v>
      </x:c>
      <x:c r="D27" s="22" t="n">
        <x:v>221000</x:v>
      </x:c>
      <x:c r="E27" s="22" t="n">
        <x:v>228000</x:v>
      </x:c>
      <x:c r="F27" s="22" t="n">
        <x:v>228000</x:v>
      </x:c>
      <x:c r="G27" s="21"/>
      <x:c r="H27" s="21" t="str">
        <x:v>AR2023</x:v>
      </x:c>
      <x:c r="I27" s="21" t="str">
        <x:v>AR2024</x:v>
      </x:c>
      <x:c r="J27" s="21" t="str">
        <x:v>AR2025</x:v>
      </x:c>
      <x:c r="K27" s="21" t="str">
        <x:v>Human Capital Resources</x:v>
      </x:c>
      <x:c r="L27" s="21" t="str">
        <x:v>Fotografia em 30 de junho de cada ano, não média anual nem satisfação. Fontes: AR2023, AR2024, AR2025 respectivamente.</x:v>
      </x:c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6" customHeight="1">
      <x:c r="A29" s="24" t="str">
        <x:v>Ponte de caixa. Operação</x:v>
      </x:c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</x:row>
    <x:row r="30" ht="32" customHeight="1">
      <x:c r="A30" s="21" t="str">
        <x:v>operating.net_income</x:v>
      </x:c>
      <x:c r="B30" s="21" t="str">
        <x:v>Lucro líquido</x:v>
      </x:c>
      <x:c r="C30" s="21" t="str">
        <x:v>USD million</x:v>
      </x:c>
      <x:c r="D30" s="22" t="n">
        <x:v>72361</x:v>
      </x:c>
      <x:c r="E30" s="22" t="n">
        <x:v>88136</x:v>
      </x:c>
      <x:c r="F30" s="22" t="n">
        <x:v>101832</x:v>
      </x:c>
      <x:c r="G30" s="21"/>
      <x:c r="H30" s="21" t="str">
        <x:v>AR2025</x:v>
      </x:c>
      <x:c r="I30" s="21" t="str">
        <x:v>AR2025</x:v>
      </x:c>
      <x:c r="J30" s="21" t="str">
        <x:v>AR2025</x:v>
      </x:c>
      <x:c r="K30" s="21" t="str">
        <x:v>Statements of Cash Flows</x:v>
      </x:c>
      <x:c r="L30" s="21" t="str"/>
    </x:row>
    <x:row r="31" ht="38" customHeight="1">
      <x:c r="A31" s="21" t="str">
        <x:v>operating.depreciation_amortization_other</x:v>
      </x:c>
      <x:c r="B31" s="21" t="str">
        <x:v>Depreciação, amortização e outros</x:v>
      </x:c>
      <x:c r="C31" s="21" t="str">
        <x:v>USD million</x:v>
      </x:c>
      <x:c r="D31" s="22" t="n">
        <x:v>13861</x:v>
      </x:c>
      <x:c r="E31" s="22" t="n">
        <x:v>22287</x:v>
      </x:c>
      <x:c r="F31" s="22" t="n">
        <x:v>34153</x:v>
      </x:c>
      <x:c r="G31" s="21"/>
      <x:c r="H31" s="21" t="str">
        <x:v>AR2025</x:v>
      </x:c>
      <x:c r="I31" s="21" t="str">
        <x:v>AR2025</x:v>
      </x:c>
      <x:c r="J31" s="21" t="str">
        <x:v>AR2025</x:v>
      </x:c>
      <x:c r="K31" s="21" t="str">
        <x:v>Statements of Cash Flows</x:v>
      </x:c>
      <x:c r="L31" s="21" t="str">
        <x:v>Apresentação do AR2025; comparativo FY2025 reapresentado no release FY2026: 29.433.</x:v>
      </x:c>
    </x:row>
    <x:row r="32" ht="32" customHeight="1">
      <x:c r="A32" s="21" t="str">
        <x:v>operating.stock_compensation</x:v>
      </x:c>
      <x:c r="B32" s="21" t="str">
        <x:v>Remuneração baseada em ações</x:v>
      </x:c>
      <x:c r="C32" s="21" t="str">
        <x:v>USD million</x:v>
      </x:c>
      <x:c r="D32" s="22" t="n">
        <x:v>9611</x:v>
      </x:c>
      <x:c r="E32" s="22" t="n">
        <x:v>10734</x:v>
      </x:c>
      <x:c r="F32" s="22" t="n">
        <x:v>11974</x:v>
      </x:c>
      <x:c r="G32" s="21"/>
      <x:c r="H32" s="21" t="str">
        <x:v>AR2025</x:v>
      </x:c>
      <x:c r="I32" s="21" t="str">
        <x:v>AR2025</x:v>
      </x:c>
      <x:c r="J32" s="21" t="str">
        <x:v>AR2025</x:v>
      </x:c>
      <x:c r="K32" s="21" t="str">
        <x:v>Statements of Cash Flows</x:v>
      </x:c>
      <x:c r="L32" s="21" t="str"/>
    </x:row>
    <x:row r="33" ht="38" customHeight="1">
      <x:c r="A33" s="21" t="str">
        <x:v>operating.net_recognized_investment_derivative_losses</x:v>
      </x:c>
      <x:c r="B33" s="21" t="str">
        <x:v>Perdas líquidas reconhecidas em investimentos e derivativos</x:v>
      </x:c>
      <x:c r="C33" s="21" t="str">
        <x:v>USD million</x:v>
      </x:c>
      <x:c r="D33" s="22" t="n">
        <x:v>196</x:v>
      </x:c>
      <x:c r="E33" s="22" t="n">
        <x:v>305</x:v>
      </x:c>
      <x:c r="F33" s="22" t="n">
        <x:v>609</x:v>
      </x:c>
      <x:c r="G33" s="21"/>
      <x:c r="H33" s="21" t="str">
        <x:v>AR2025</x:v>
      </x:c>
      <x:c r="I33" s="21" t="str">
        <x:v>AR2025</x:v>
      </x:c>
      <x:c r="J33" s="21" t="str">
        <x:v>AR2025</x:v>
      </x:c>
      <x:c r="K33" s="21" t="str">
        <x:v>Statements of Cash Flows</x:v>
      </x:c>
      <x:c r="L33" s="21" t="str">
        <x:v>Apresentação do AR2025; comparativo FY2025 reapresentado no release FY2026: 5.329.</x:v>
      </x:c>
    </x:row>
    <x:row r="34" ht="32" customHeight="1">
      <x:c r="A34" s="21" t="str">
        <x:v>operating.deferred_income_taxes</x:v>
      </x:c>
      <x:c r="B34" s="21" t="str">
        <x:v>Impostos diferidos</x:v>
      </x:c>
      <x:c r="C34" s="21" t="str">
        <x:v>USD million</x:v>
      </x:c>
      <x:c r="D34" s="22" t="n">
        <x:v>-6059</x:v>
      </x:c>
      <x:c r="E34" s="22" t="n">
        <x:v>-4738</x:v>
      </x:c>
      <x:c r="F34" s="22" t="n">
        <x:v>-7056</x:v>
      </x:c>
      <x:c r="G34" s="21"/>
      <x:c r="H34" s="21" t="str">
        <x:v>AR2025</x:v>
      </x:c>
      <x:c r="I34" s="21" t="str">
        <x:v>AR2025</x:v>
      </x:c>
      <x:c r="J34" s="21" t="str">
        <x:v>AR2025</x:v>
      </x:c>
      <x:c r="K34" s="21" t="str">
        <x:v>Statements of Cash Flows</x:v>
      </x:c>
      <x:c r="L34" s="21" t="str"/>
    </x:row>
    <x:row r="35" ht="32" customHeight="1">
      <x:c r="A35" s="21" t="str">
        <x:v>operating.change_accounts_receivable</x:v>
      </x:c>
      <x:c r="B35" s="21" t="str">
        <x:v>Variação de contas a receber</x:v>
      </x:c>
      <x:c r="C35" s="21" t="str">
        <x:v>USD million</x:v>
      </x:c>
      <x:c r="D35" s="22" t="n">
        <x:v>-4087</x:v>
      </x:c>
      <x:c r="E35" s="22" t="n">
        <x:v>-7191</x:v>
      </x:c>
      <x:c r="F35" s="22" t="n">
        <x:v>-10581</x:v>
      </x:c>
      <x:c r="G35" s="21"/>
      <x:c r="H35" s="21" t="str">
        <x:v>AR2025</x:v>
      </x:c>
      <x:c r="I35" s="21" t="str">
        <x:v>AR2025</x:v>
      </x:c>
      <x:c r="J35" s="21" t="str">
        <x:v>AR2025</x:v>
      </x:c>
      <x:c r="K35" s="21" t="str">
        <x:v>Statements of Cash Flows</x:v>
      </x:c>
      <x:c r="L35" s="21" t="str"/>
    </x:row>
    <x:row r="36" ht="32" customHeight="1">
      <x:c r="A36" s="21" t="str">
        <x:v>operating.change_inventories</x:v>
      </x:c>
      <x:c r="B36" s="21" t="str">
        <x:v>Variação de estoques</x:v>
      </x:c>
      <x:c r="C36" s="21" t="str">
        <x:v>USD million</x:v>
      </x:c>
      <x:c r="D36" s="22" t="n">
        <x:v>1242</x:v>
      </x:c>
      <x:c r="E36" s="22" t="n">
        <x:v>1284</x:v>
      </x:c>
      <x:c r="F36" s="22" t="n">
        <x:v>309</x:v>
      </x:c>
      <x:c r="G36" s="21"/>
      <x:c r="H36" s="21" t="str">
        <x:v>AR2025</x:v>
      </x:c>
      <x:c r="I36" s="21" t="str">
        <x:v>AR2025</x:v>
      </x:c>
      <x:c r="J36" s="21" t="str">
        <x:v>AR2025</x:v>
      </x:c>
      <x:c r="K36" s="21" t="str">
        <x:v>Statements of Cash Flows</x:v>
      </x:c>
      <x:c r="L36" s="21" t="str"/>
    </x:row>
    <x:row r="37" ht="38" customHeight="1">
      <x:c r="A37" s="21" t="str">
        <x:v>operating.change_other_current_assets</x:v>
      </x:c>
      <x:c r="B37" s="21" t="str">
        <x:v>Variação de outros ativos circulantes</x:v>
      </x:c>
      <x:c r="C37" s="21" t="str">
        <x:v>USD million</x:v>
      </x:c>
      <x:c r="D37" s="22" t="n">
        <x:v>-1991</x:v>
      </x:c>
      <x:c r="E37" s="22" t="n">
        <x:v>-1648</x:v>
      </x:c>
      <x:c r="F37" s="22" t="n">
        <x:v>-3044</x:v>
      </x:c>
      <x:c r="G37" s="21"/>
      <x:c r="H37" s="21" t="str">
        <x:v>AR2025</x:v>
      </x:c>
      <x:c r="I37" s="21" t="str">
        <x:v>AR2025</x:v>
      </x:c>
      <x:c r="J37" s="21" t="str">
        <x:v>AR2025</x:v>
      </x:c>
      <x:c r="K37" s="21" t="str">
        <x:v>Statements of Cash Flows</x:v>
      </x:c>
      <x:c r="L37" s="21" t="str"/>
    </x:row>
    <x:row r="38" ht="38" customHeight="1">
      <x:c r="A38" s="21" t="str">
        <x:v>operating.change_other_longterm_assets</x:v>
      </x:c>
      <x:c r="B38" s="21" t="str">
        <x:v>Variação de outros ativos de longo prazo</x:v>
      </x:c>
      <x:c r="C38" s="21" t="str">
        <x:v>USD million</x:v>
      </x:c>
      <x:c r="D38" s="22" t="n">
        <x:v>-2833</x:v>
      </x:c>
      <x:c r="E38" s="22" t="n">
        <x:v>-6817</x:v>
      </x:c>
      <x:c r="F38" s="22" t="n">
        <x:v>-2950</x:v>
      </x:c>
      <x:c r="G38" s="21"/>
      <x:c r="H38" s="21" t="str">
        <x:v>AR2025</x:v>
      </x:c>
      <x:c r="I38" s="21" t="str">
        <x:v>AR2025</x:v>
      </x:c>
      <x:c r="J38" s="21" t="str">
        <x:v>AR2025</x:v>
      </x:c>
      <x:c r="K38" s="21" t="str">
        <x:v>Statements of Cash Flows</x:v>
      </x:c>
      <x:c r="L38" s="21" t="str"/>
    </x:row>
    <x:row r="39" ht="32" customHeight="1">
      <x:c r="A39" s="21" t="str">
        <x:v>operating.change_accounts_payable</x:v>
      </x:c>
      <x:c r="B39" s="21" t="str">
        <x:v>Variação de contas a pagar</x:v>
      </x:c>
      <x:c r="C39" s="21" t="str">
        <x:v>USD million</x:v>
      </x:c>
      <x:c r="D39" s="22" t="n">
        <x:v>-2721</x:v>
      </x:c>
      <x:c r="E39" s="22" t="n">
        <x:v>3545</x:v>
      </x:c>
      <x:c r="F39" s="22" t="n">
        <x:v>569</x:v>
      </x:c>
      <x:c r="G39" s="21"/>
      <x:c r="H39" s="21" t="str">
        <x:v>AR2025</x:v>
      </x:c>
      <x:c r="I39" s="21" t="str">
        <x:v>AR2025</x:v>
      </x:c>
      <x:c r="J39" s="21" t="str">
        <x:v>AR2025</x:v>
      </x:c>
      <x:c r="K39" s="21" t="str">
        <x:v>Statements of Cash Flows</x:v>
      </x:c>
      <x:c r="L39" s="21" t="str"/>
    </x:row>
    <x:row r="40" ht="32" customHeight="1">
      <x:c r="A40" s="21" t="str">
        <x:v>operating.change_unearned_revenue</x:v>
      </x:c>
      <x:c r="B40" s="21" t="str">
        <x:v>Variação de receita diferida</x:v>
      </x:c>
      <x:c r="C40" s="21" t="str">
        <x:v>USD million</x:v>
      </x:c>
      <x:c r="D40" s="22" t="n">
        <x:v>5535</x:v>
      </x:c>
      <x:c r="E40" s="22" t="n">
        <x:v>5348</x:v>
      </x:c>
      <x:c r="F40" s="22" t="n">
        <x:v>5438</x:v>
      </x:c>
      <x:c r="G40" s="21"/>
      <x:c r="H40" s="21" t="str">
        <x:v>AR2025</x:v>
      </x:c>
      <x:c r="I40" s="21" t="str">
        <x:v>AR2025</x:v>
      </x:c>
      <x:c r="J40" s="21" t="str">
        <x:v>AR2025</x:v>
      </x:c>
      <x:c r="K40" s="21" t="str">
        <x:v>Statements of Cash Flows</x:v>
      </x:c>
      <x:c r="L40" s="21" t="str"/>
    </x:row>
    <x:row r="41" ht="32" customHeight="1">
      <x:c r="A41" s="21" t="str">
        <x:v>operating.change_income_taxes</x:v>
      </x:c>
      <x:c r="B41" s="21" t="str">
        <x:v>Variação de impostos sobre a renda</x:v>
      </x:c>
      <x:c r="C41" s="21" t="str">
        <x:v>USD million</x:v>
      </x:c>
      <x:c r="D41" s="22" t="n">
        <x:v>-358</x:v>
      </x:c>
      <x:c r="E41" s="22" t="n">
        <x:v>1687</x:v>
      </x:c>
      <x:c r="F41" s="22" t="n">
        <x:v>-38</x:v>
      </x:c>
      <x:c r="G41" s="21"/>
      <x:c r="H41" s="21" t="str">
        <x:v>AR2025</x:v>
      </x:c>
      <x:c r="I41" s="21" t="str">
        <x:v>AR2025</x:v>
      </x:c>
      <x:c r="J41" s="21" t="str">
        <x:v>AR2025</x:v>
      </x:c>
      <x:c r="K41" s="21" t="str">
        <x:v>Statements of Cash Flows</x:v>
      </x:c>
      <x:c r="L41" s="21" t="str"/>
    </x:row>
    <x:row r="42" ht="38" customHeight="1">
      <x:c r="A42" s="21" t="str">
        <x:v>operating.change_other_current_liabilities</x:v>
      </x:c>
      <x:c r="B42" s="21" t="str">
        <x:v>Variação de outros passivos circulantes</x:v>
      </x:c>
      <x:c r="C42" s="21" t="str">
        <x:v>USD million</x:v>
      </x:c>
      <x:c r="D42" s="22" t="n">
        <x:v>2272</x:v>
      </x:c>
      <x:c r="E42" s="22" t="n">
        <x:v>4867</x:v>
      </x:c>
      <x:c r="F42" s="22" t="n">
        <x:v>5922</x:v>
      </x:c>
      <x:c r="G42" s="21"/>
      <x:c r="H42" s="21" t="str">
        <x:v>AR2025</x:v>
      </x:c>
      <x:c r="I42" s="21" t="str">
        <x:v>AR2025</x:v>
      </x:c>
      <x:c r="J42" s="21" t="str">
        <x:v>AR2025</x:v>
      </x:c>
      <x:c r="K42" s="21" t="str">
        <x:v>Statements of Cash Flows</x:v>
      </x:c>
      <x:c r="L42" s="21" t="str"/>
    </x:row>
    <x:row r="43" ht="38" customHeight="1">
      <x:c r="A43" s="21" t="str">
        <x:v>operating.change_other_longterm_liabilities</x:v>
      </x:c>
      <x:c r="B43" s="21" t="str">
        <x:v>Variação de outros passivos de longo prazo</x:v>
      </x:c>
      <x:c r="C43" s="21" t="str">
        <x:v>USD million</x:v>
      </x:c>
      <x:c r="D43" s="22" t="n">
        <x:v>553</x:v>
      </x:c>
      <x:c r="E43" s="22" t="n">
        <x:v>749</x:v>
      </x:c>
      <x:c r="F43" s="22" t="n">
        <x:v>-975</x:v>
      </x:c>
      <x:c r="G43" s="21"/>
      <x:c r="H43" s="21" t="str">
        <x:v>AR2025</x:v>
      </x:c>
      <x:c r="I43" s="21" t="str">
        <x:v>AR2025</x:v>
      </x:c>
      <x:c r="J43" s="21" t="str">
        <x:v>AR2025</x:v>
      </x:c>
      <x:c r="K43" s="21" t="str">
        <x:v>Statements of Cash Flows</x:v>
      </x:c>
      <x:c r="L43" s="21" t="str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6" customHeight="1">
      <x:c r="A45" s="24" t="str">
        <x:v>Ponte de caixa. Investimento</x:v>
      </x:c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</x:row>
    <x:row r="46" ht="38" customHeight="1">
      <x:c r="A46" s="21" t="str">
        <x:v>investing.additions_property_equipment_cash</x:v>
      </x:c>
      <x:c r="B46" s="21" t="str">
        <x:v>Adições ao imobilizado: saída de caixa</x:v>
      </x:c>
      <x:c r="C46" s="21" t="str">
        <x:v>USD million</x:v>
      </x:c>
      <x:c r="D46" s="22" t="n">
        <x:v>-28107</x:v>
      </x:c>
      <x:c r="E46" s="22" t="n">
        <x:v>-44477</x:v>
      </x:c>
      <x:c r="F46" s="22" t="n">
        <x:v>-64551</x:v>
      </x:c>
      <x:c r="G46" s="21"/>
      <x:c r="H46" s="21" t="str">
        <x:v>AR2025</x:v>
      </x:c>
      <x:c r="I46" s="21" t="str">
        <x:v>AR2025</x:v>
      </x:c>
      <x:c r="J46" s="21" t="str">
        <x:v>AR2025</x:v>
      </x:c>
      <x:c r="K46" s="21" t="str">
        <x:v>Statements of Cash Flows</x:v>
      </x:c>
      <x:c r="L46" s="21" t="str"/>
    </x:row>
    <x:row r="47" ht="38" customHeight="1">
      <x:c r="A47" s="21" t="str">
        <x:v>investing.acquisitions_net_and_other_assets</x:v>
      </x:c>
      <x:c r="B47" s="21" t="str">
        <x:v>Aquisições líquidas de caixa adquirido e alienações; intangíveis e outros ativos</x:v>
      </x:c>
      <x:c r="C47" s="21" t="str">
        <x:v>USD million</x:v>
      </x:c>
      <x:c r="D47" s="22" t="n">
        <x:v>-1670</x:v>
      </x:c>
      <x:c r="E47" s="22" t="n">
        <x:v>-69132</x:v>
      </x:c>
      <x:c r="F47" s="22" t="n">
        <x:v>-5978</x:v>
      </x:c>
      <x:c r="G47" s="21"/>
      <x:c r="H47" s="21" t="str">
        <x:v>AR2025</x:v>
      </x:c>
      <x:c r="I47" s="21" t="str">
        <x:v>AR2025</x:v>
      </x:c>
      <x:c r="J47" s="21" t="str">
        <x:v>AR2025</x:v>
      </x:c>
      <x:c r="K47" s="21" t="str">
        <x:v>Statements of Cash Flows</x:v>
      </x:c>
      <x:c r="L47" s="21" t="str">
        <x:v>Linha agregada da demonstração; não equivale apenas a aquisição de empresas.</x:v>
      </x:c>
    </x:row>
    <x:row r="48" ht="32" customHeight="1">
      <x:c r="A48" s="21" t="str">
        <x:v>investing.investment_purchases</x:v>
      </x:c>
      <x:c r="B48" s="21" t="str">
        <x:v>Compras de investimentos</x:v>
      </x:c>
      <x:c r="C48" s="21" t="str">
        <x:v>USD million</x:v>
      </x:c>
      <x:c r="D48" s="22" t="n">
        <x:v>-37651</x:v>
      </x:c>
      <x:c r="E48" s="22" t="n">
        <x:v>-17732</x:v>
      </x:c>
      <x:c r="F48" s="22" t="n">
        <x:v>-29775</x:v>
      </x:c>
      <x:c r="G48" s="21"/>
      <x:c r="H48" s="21" t="str">
        <x:v>AR2025</x:v>
      </x:c>
      <x:c r="I48" s="21" t="str">
        <x:v>AR2025</x:v>
      </x:c>
      <x:c r="J48" s="21" t="str">
        <x:v>AR2025</x:v>
      </x:c>
      <x:c r="K48" s="21" t="str">
        <x:v>Statements of Cash Flows</x:v>
      </x:c>
      <x:c r="L48" s="21" t="str"/>
    </x:row>
    <x:row r="49" ht="32" customHeight="1">
      <x:c r="A49" s="21" t="str">
        <x:v>investing.investment_maturities</x:v>
      </x:c>
      <x:c r="B49" s="21" t="str">
        <x:v>Vencimentos de investimentos</x:v>
      </x:c>
      <x:c r="C49" s="21" t="str">
        <x:v>USD million</x:v>
      </x:c>
      <x:c r="D49" s="22" t="n">
        <x:v>33510</x:v>
      </x:c>
      <x:c r="E49" s="22" t="n">
        <x:v>24775</x:v>
      </x:c>
      <x:c r="F49" s="22" t="n">
        <x:v>16079</x:v>
      </x:c>
      <x:c r="G49" s="21"/>
      <x:c r="H49" s="21" t="str">
        <x:v>AR2025</x:v>
      </x:c>
      <x:c r="I49" s="21" t="str">
        <x:v>AR2025</x:v>
      </x:c>
      <x:c r="J49" s="21" t="str">
        <x:v>AR2025</x:v>
      </x:c>
      <x:c r="K49" s="21" t="str">
        <x:v>Statements of Cash Flows</x:v>
      </x:c>
      <x:c r="L49" s="21" t="str"/>
    </x:row>
    <x:row r="50" ht="32" customHeight="1">
      <x:c r="A50" s="21" t="str">
        <x:v>investing.investment_sales</x:v>
      </x:c>
      <x:c r="B50" s="21" t="str">
        <x:v>Vendas de investimentos</x:v>
      </x:c>
      <x:c r="C50" s="21" t="str">
        <x:v>USD million</x:v>
      </x:c>
      <x:c r="D50" s="22" t="n">
        <x:v>14354</x:v>
      </x:c>
      <x:c r="E50" s="22" t="n">
        <x:v>10894</x:v>
      </x:c>
      <x:c r="F50" s="22" t="n">
        <x:v>9309</x:v>
      </x:c>
      <x:c r="G50" s="21"/>
      <x:c r="H50" s="21" t="str">
        <x:v>AR2025</x:v>
      </x:c>
      <x:c r="I50" s="21" t="str">
        <x:v>AR2025</x:v>
      </x:c>
      <x:c r="J50" s="21" t="str">
        <x:v>AR2025</x:v>
      </x:c>
      <x:c r="K50" s="21" t="str">
        <x:v>Statements of Cash Flows</x:v>
      </x:c>
      <x:c r="L50" s="21" t="str"/>
    </x:row>
    <x:row r="51" ht="32" customHeight="1">
      <x:c r="A51" s="21" t="str">
        <x:v>investing.investing_other_net</x:v>
      </x:c>
      <x:c r="B51" s="21" t="str">
        <x:v>Outros investimentos, líquido</x:v>
      </x:c>
      <x:c r="C51" s="21" t="str">
        <x:v>USD million</x:v>
      </x:c>
      <x:c r="D51" s="22" t="n">
        <x:v>-3116</x:v>
      </x:c>
      <x:c r="E51" s="22" t="n">
        <x:v>-1298</x:v>
      </x:c>
      <x:c r="F51" s="22" t="n">
        <x:v>2317</x:v>
      </x:c>
      <x:c r="G51" s="21"/>
      <x:c r="H51" s="21" t="str">
        <x:v>AR2025</x:v>
      </x:c>
      <x:c r="I51" s="21" t="str">
        <x:v>AR2025</x:v>
      </x:c>
      <x:c r="J51" s="21" t="str">
        <x:v>AR2025</x:v>
      </x:c>
      <x:c r="K51" s="21" t="str">
        <x:v>Statements of Cash Flows</x:v>
      </x:c>
      <x:c r="L51" s="21" t="str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6" customHeight="1">
      <x:c r="A53" s="24" t="str">
        <x:v>Ponte de caixa. Financiamento</x:v>
      </x:c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</x:row>
    <x:row r="54" ht="38" customHeight="1">
      <x:c r="A54" s="21" t="str">
        <x:v>financing.net_debt_90days_or_less</x:v>
      </x:c>
      <x:c r="B54" s="21" t="str">
        <x:v>Emissões/reembolsos líquidos de dívida com vencimento original até 90 dias</x:v>
      </x:c>
      <x:c r="C54" s="21" t="str">
        <x:v>USD million</x:v>
      </x:c>
      <x:c r="D54" s="22" t="n">
        <x:v>0</x:v>
      </x:c>
      <x:c r="E54" s="22" t="n">
        <x:v>5250</x:v>
      </x:c>
      <x:c r="F54" s="22" t="n">
        <x:v>-5746</x:v>
      </x:c>
      <x:c r="G54" s="21"/>
      <x:c r="H54" s="21" t="str">
        <x:v>AR2025</x:v>
      </x:c>
      <x:c r="I54" s="21" t="str">
        <x:v>AR2025</x:v>
      </x:c>
      <x:c r="J54" s="21" t="str">
        <x:v>AR2025</x:v>
      </x:c>
      <x:c r="K54" s="21" t="str">
        <x:v>Statements of Cash Flows</x:v>
      </x:c>
      <x:c r="L54" s="21" t="str"/>
    </x:row>
    <x:row r="55" ht="32" customHeight="1">
      <x:c r="A55" s="21" t="str">
        <x:v>financing.debt_proceeds</x:v>
      </x:c>
      <x:c r="B55" s="21" t="str">
        <x:v>Captações de dívida com vencimento original acima de 90 dias</x:v>
      </x:c>
      <x:c r="C55" s="21" t="str">
        <x:v>USD million</x:v>
      </x:c>
      <x:c r="D55" s="22" t="n">
        <x:v>0</x:v>
      </x:c>
      <x:c r="E55" s="22" t="n">
        <x:v>24395</x:v>
      </x:c>
      <x:c r="F55" s="22" t="n">
        <x:v>0</x:v>
      </x:c>
      <x:c r="G55" s="21"/>
      <x:c r="H55" s="21" t="str">
        <x:v>AR2025</x:v>
      </x:c>
      <x:c r="I55" s="21" t="str">
        <x:v>AR2025</x:v>
      </x:c>
      <x:c r="J55" s="21" t="str">
        <x:v>AR2025</x:v>
      </x:c>
      <x:c r="K55" s="21" t="str">
        <x:v>Statements of Cash Flows</x:v>
      </x:c>
      <x:c r="L55" s="21" t="str"/>
    </x:row>
    <x:row r="56" ht="32" customHeight="1">
      <x:c r="A56" s="21" t="str">
        <x:v>financing.debt_repayments</x:v>
      </x:c>
      <x:c r="B56" s="21" t="str">
        <x:v>Amortizações de dívida com vencimento original acima de 90 dias</x:v>
      </x:c>
      <x:c r="C56" s="21" t="str">
        <x:v>USD million</x:v>
      </x:c>
      <x:c r="D56" s="22" t="n">
        <x:v>-2750</x:v>
      </x:c>
      <x:c r="E56" s="22" t="n">
        <x:v>-29070</x:v>
      </x:c>
      <x:c r="F56" s="22" t="n">
        <x:v>-3216</x:v>
      </x:c>
      <x:c r="G56" s="21"/>
      <x:c r="H56" s="21" t="str">
        <x:v>AR2025</x:v>
      </x:c>
      <x:c r="I56" s="21" t="str">
        <x:v>AR2025</x:v>
      </x:c>
      <x:c r="J56" s="21" t="str">
        <x:v>AR2025</x:v>
      </x:c>
      <x:c r="K56" s="21" t="str">
        <x:v>Statements of Cash Flows</x:v>
      </x:c>
      <x:c r="L56" s="21" t="str"/>
    </x:row>
    <x:row r="57" ht="32" customHeight="1">
      <x:c r="A57" s="21" t="str">
        <x:v>financing.stock_issuance</x:v>
      </x:c>
      <x:c r="B57" s="21" t="str">
        <x:v>Emissão de ações</x:v>
      </x:c>
      <x:c r="C57" s="21" t="str">
        <x:v>USD million</x:v>
      </x:c>
      <x:c r="D57" s="22" t="n">
        <x:v>1866</x:v>
      </x:c>
      <x:c r="E57" s="22" t="n">
        <x:v>2002</x:v>
      </x:c>
      <x:c r="F57" s="22" t="n">
        <x:v>2056</x:v>
      </x:c>
      <x:c r="G57" s="21"/>
      <x:c r="H57" s="21" t="str">
        <x:v>AR2025</x:v>
      </x:c>
      <x:c r="I57" s="21" t="str">
        <x:v>AR2025</x:v>
      </x:c>
      <x:c r="J57" s="21" t="str">
        <x:v>AR2025</x:v>
      </x:c>
      <x:c r="K57" s="21" t="str">
        <x:v>Statements of Cash Flows</x:v>
      </x:c>
      <x:c r="L57" s="21" t="str"/>
    </x:row>
    <x:row r="58" ht="32" customHeight="1">
      <x:c r="A58" s="21" t="str">
        <x:v>financing.stock_repurchases_cash</x:v>
      </x:c>
      <x:c r="B58" s="21" t="str">
        <x:v>Recompras: saída efetiva de caixa</x:v>
      </x:c>
      <x:c r="C58" s="21" t="str">
        <x:v>USD million</x:v>
      </x:c>
      <x:c r="D58" s="22" t="n">
        <x:v>-22245</x:v>
      </x:c>
      <x:c r="E58" s="22" t="n">
        <x:v>-17254</x:v>
      </x:c>
      <x:c r="F58" s="22" t="n">
        <x:v>-18420</x:v>
      </x:c>
      <x:c r="G58" s="21"/>
      <x:c r="H58" s="21" t="str">
        <x:v>AR2025</x:v>
      </x:c>
      <x:c r="I58" s="21" t="str">
        <x:v>AR2025</x:v>
      </x:c>
      <x:c r="J58" s="21" t="str">
        <x:v>AR2025</x:v>
      </x:c>
      <x:c r="K58" s="21" t="str">
        <x:v>Statements of Cash Flows</x:v>
      </x:c>
      <x:c r="L58" s="21" t="str"/>
    </x:row>
    <x:row r="59" ht="32" customHeight="1">
      <x:c r="A59" s="21" t="str">
        <x:v>financing.cash_dividends_paid</x:v>
      </x:c>
      <x:c r="B59" s="21" t="str">
        <x:v>Dividendos efetivamente pagos</x:v>
      </x:c>
      <x:c r="C59" s="21" t="str">
        <x:v>USD million</x:v>
      </x:c>
      <x:c r="D59" s="22" t="n">
        <x:v>-19800</x:v>
      </x:c>
      <x:c r="E59" s="22" t="n">
        <x:v>-21771</x:v>
      </x:c>
      <x:c r="F59" s="22" t="n">
        <x:v>-24082</x:v>
      </x:c>
      <x:c r="G59" s="21"/>
      <x:c r="H59" s="21" t="str">
        <x:v>AR2025</x:v>
      </x:c>
      <x:c r="I59" s="21" t="str">
        <x:v>AR2025</x:v>
      </x:c>
      <x:c r="J59" s="21" t="str">
        <x:v>AR2025</x:v>
      </x:c>
      <x:c r="K59" s="21" t="str">
        <x:v>Statements of Cash Flows</x:v>
      </x:c>
      <x:c r="L59" s="21" t="str"/>
    </x:row>
    <x:row r="60" ht="32" customHeight="1">
      <x:c r="A60" s="21" t="str">
        <x:v>financing.financing_other_net</x:v>
      </x:c>
      <x:c r="B60" s="21" t="str">
        <x:v>Outros financiamentos, líquido</x:v>
      </x:c>
      <x:c r="C60" s="21" t="str">
        <x:v>USD million</x:v>
      </x:c>
      <x:c r="D60" s="22" t="n">
        <x:v>-1006</x:v>
      </x:c>
      <x:c r="E60" s="22" t="n">
        <x:v>-1309</x:v>
      </x:c>
      <x:c r="F60" s="22" t="n">
        <x:v>-2291</x:v>
      </x:c>
      <x:c r="G60" s="21"/>
      <x:c r="H60" s="21" t="str">
        <x:v>AR2025</x:v>
      </x:c>
      <x:c r="I60" s="21" t="str">
        <x:v>AR2025</x:v>
      </x:c>
      <x:c r="J60" s="21" t="str">
        <x:v>AR2025</x:v>
      </x:c>
      <x:c r="K60" s="21" t="str">
        <x:v>Statements of Cash Flows</x:v>
      </x:c>
      <x:c r="L60" s="21" t="str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30" customHeight="1">
      <x:c r="A64" s="15" t="str">
        <x:v>ID</x:v>
      </x:c>
      <x:c r="B64" s="16" t="str">
        <x:v>Indicador</x:v>
      </x:c>
      <x:c r="C64" s="16" t="str">
        <x:v>Valor original</x:v>
      </x:c>
      <x:c r="D64" s="16" t="str">
        <x:v>Unidade original</x:v>
      </x:c>
      <x:c r="E64" s="16" t="str">
        <x:v>Período declarado</x:v>
      </x:c>
      <x:c r="F64" s="16" t="str">
        <x:v>Situação</x:v>
      </x:c>
      <x:c r="G64" s="18" t="str"/>
      <x:c r="H64" s="16" t="str">
        <x:v>Fonte</x:v>
      </x:c>
      <x:c r="I64" s="16" t="str">
        <x:v>Página / seção</x:v>
      </x:c>
      <x:c r="J64" s="16" t="str">
        <x:v>Verificador</x:v>
      </x:c>
      <x:c r="K64" s="16" t="str">
        <x:v>Escopo da verificação</x:v>
      </x:c>
      <x:c r="L64" s="17" t="str">
        <x:v>Contexto e lacunas</x:v>
      </x:c>
    </x:row>
    <x:row r="65" ht="84" customHeight="1">
      <x:c r="A65" s="21" t="str">
        <x:v>ghg_scope1</x:v>
      </x:c>
      <x:c r="B65" s="21" t="str">
        <x:v>Emissões diretas Escopo 1</x:v>
      </x:c>
      <x:c r="C65" s="51" t="n">
        <x:v>170887</x:v>
      </x:c>
      <x:c r="D65" s="21" t="str">
        <x:v>tCO2e</x:v>
      </x:c>
      <x:c r="E65" s="21" t="str">
        <x:v>FY2025</x:v>
      </x:c>
      <x:c r="F65" s="21" t="str">
        <x:v>Executado, reportado</x:v>
      </x:c>
      <x:c r="G65" s="21"/>
      <x:c r="H65" s="21" t="str">
        <x:v>IMPACT_1</x:v>
      </x:c>
      <x:c r="I65" s="21" t="str">
        <x:v>p.3 tabela 1A</x:v>
      </x:c>
      <x:c r="J65" s="21" t="str">
        <x:v>Deloitte &amp; Touche LLP</x:v>
      </x:c>
      <x:c r="K65" s="21" t="str">
        <x:v>Revisão limitada AICPA AT-C 105/210 sobre asserção da administração e informação especificada da seção 1 FY25; critérios seção 1.10. Parecer de 09/07/2026. Não é exame com asseguração razoável.</x:v>
      </x:c>
      <x:c r="L65" s="21" t="str">
        <x:v>Contribuinte: Microsoft. Forma: indicador_fisico. Alinhamento: confirmed. Grupo de sobreposição: ghg_alternative_scopes_and_totals. Não é valor financeiro de aporte; não inferir abatimento fiscal ou custo.</x:v>
      </x:c>
    </x:row>
    <x:row r="66" ht="84" customHeight="1">
      <x:c r="A66" s="21" t="str">
        <x:v>ghg_scope2_location</x:v>
      </x:c>
      <x:c r="B66" s="21" t="str">
        <x:v>Escopo 2 location-based</x:v>
      </x:c>
      <x:c r="C66" s="51" t="n">
        <x:v>12030556</x:v>
      </x:c>
      <x:c r="D66" s="21" t="str">
        <x:v>tCO2e</x:v>
      </x:c>
      <x:c r="E66" s="21" t="str">
        <x:v>FY2025</x:v>
      </x:c>
      <x:c r="F66" s="21" t="str">
        <x:v>Executado, reportado</x:v>
      </x:c>
      <x:c r="G66" s="21"/>
      <x:c r="H66" s="21" t="str">
        <x:v>IMPACT_1</x:v>
      </x:c>
      <x:c r="I66" s="21" t="str">
        <x:v>p.3 tabela 1A</x:v>
      </x:c>
      <x:c r="J66" s="21" t="str">
        <x:v>Deloitte &amp; Touche LLP</x:v>
      </x:c>
      <x:c r="K66" s="21" t="str">
        <x:v>Revisão limitada AICPA AT-C 105/210 sobre asserção da administração e informação especificada da seção 1 FY25; critérios seção 1.10. Parecer de 09/07/2026. Não é exame com asseguração razoável.</x:v>
      </x:c>
      <x:c r="L66" s="21" t="str">
        <x:v>Contribuinte: Microsoft. Forma: indicador_fisico. Alinhamento: confirmed. Grupo de sobreposição: ghg_alternative_scopes_and_totals. Não é valor financeiro de aporte; não inferir abatimento fiscal ou custo.</x:v>
      </x:c>
    </x:row>
    <x:row r="67" ht="84" customHeight="1">
      <x:c r="A67" s="21" t="str">
        <x:v>ghg_scope2_market</x:v>
      </x:c>
      <x:c r="B67" s="21" t="str">
        <x:v>Escopo 2 market-based</x:v>
      </x:c>
      <x:c r="C67" s="51" t="n">
        <x:v>2707428</x:v>
      </x:c>
      <x:c r="D67" s="21" t="str">
        <x:v>tCO2e</x:v>
      </x:c>
      <x:c r="E67" s="21" t="str">
        <x:v>FY2025</x:v>
      </x:c>
      <x:c r="F67" s="21" t="str">
        <x:v>Executado, reportado</x:v>
      </x:c>
      <x:c r="G67" s="21"/>
      <x:c r="H67" s="21" t="str">
        <x:v>IMPACT_1</x:v>
      </x:c>
      <x:c r="I67" s="21" t="str">
        <x:v>p.3 tabela 1A</x:v>
      </x:c>
      <x:c r="J67" s="21" t="str">
        <x:v>Deloitte &amp; Touche LLP</x:v>
      </x:c>
      <x:c r="K67" s="21" t="str">
        <x:v>Revisão limitada AICPA AT-C 105/210 sobre asserção da administração e informação especificada da seção 1 FY25; critérios seção 1.10. Parecer de 09/07/2026. Não é exame com asseguração razoável.</x:v>
      </x:c>
      <x:c r="L67" s="21" t="str">
        <x:v>Contribuinte: Microsoft. Forma: indicador_fisico. Alinhamento: confirmed. Grupo de sobreposição: ghg_alternative_scopes_and_totals. Não é valor financeiro de aporte; não inferir abatimento fiscal ou custo.</x:v>
      </x:c>
    </x:row>
    <x:row r="68" ht="84" customHeight="1">
      <x:c r="A68" s="21" t="str">
        <x:v>ghg_scope3_ghgp</x:v>
      </x:c>
      <x:c r="B68" s="21" t="str">
        <x:v>Escopo 3 conforme tabela GHG Protocol</x:v>
      </x:c>
      <x:c r="C68" s="51" t="n">
        <x:v>18243000</x:v>
      </x:c>
      <x:c r="D68" s="21" t="str">
        <x:v>tCO2e</x:v>
      </x:c>
      <x:c r="E68" s="21" t="str">
        <x:v>FY2025</x:v>
      </x:c>
      <x:c r="F68" s="21" t="str">
        <x:v>Executado, reportado</x:v>
      </x:c>
      <x:c r="G68" s="21"/>
      <x:c r="H68" s="21" t="str">
        <x:v>IMPACT_1</x:v>
      </x:c>
      <x:c r="I68" s="21" t="str">
        <x:v>p.3 tabela 1A</x:v>
      </x:c>
      <x:c r="J68" s="21" t="str">
        <x:v>Deloitte &amp; Touche LLP</x:v>
      </x:c>
      <x:c r="K68" s="21" t="str">
        <x:v>Revisão limitada AICPA AT-C 105/210 sobre asserção da administração e informação especificada da seção 1 FY25; critérios seção 1.10. Parecer de 09/07/2026. Não é exame com asseguração razoável.</x:v>
      </x:c>
      <x:c r="L68" s="21" t="str">
        <x:v>Contribuinte: Microsoft. Forma: indicador_fisico. Alinhamento: confirmed. Grupo de sobreposição: ghg_alternative_scopes_and_totals. Não é valor financeiro de aporte; não inferir abatimento fiscal ou custo.</x:v>
      </x:c>
    </x:row>
    <x:row r="69" ht="84" customHeight="1">
      <x:c r="A69" s="21" t="str">
        <x:v>ghg_total_ghgp</x:v>
      </x:c>
      <x:c r="B69" s="21" t="str">
        <x:v>Emissões totais tabela 1A: S1+S2 market-based+S3</x:v>
      </x:c>
      <x:c r="C69" s="51" t="n">
        <x:v>21121000</x:v>
      </x:c>
      <x:c r="D69" s="21" t="str">
        <x:v>tCO2e</x:v>
      </x:c>
      <x:c r="E69" s="21" t="str">
        <x:v>FY2025</x:v>
      </x:c>
      <x:c r="F69" s="21" t="str">
        <x:v>Executado, reportado</x:v>
      </x:c>
      <x:c r="G69" s="21"/>
      <x:c r="H69" s="21" t="str">
        <x:v>IMPACT_1</x:v>
      </x:c>
      <x:c r="I69" s="21" t="str">
        <x:v>p.3 tabela 1A</x:v>
      </x:c>
      <x:c r="J69" s="21" t="str">
        <x:v>Deloitte &amp; Touche LLP</x:v>
      </x:c>
      <x:c r="K69" s="21" t="str">
        <x:v>Revisão limitada AICPA AT-C 105/210 sobre asserção da administração e informação especificada da seção 1 FY25; critérios seção 1.10. Parecer de 09/07/2026. Não é exame com asseguração razoável.</x:v>
      </x:c>
      <x:c r="L69" s="21" t="str">
        <x:v>Contribuinte: Microsoft. Forma: indicador_fisico. Alinhamento: confirmed. Grupo de sobreposição: ghg_alternative_scopes_and_totals. Não é valor financeiro de aporte; não inferir abatimento fiscal ou custo.</x:v>
      </x:c>
    </x:row>
    <x:row r="70" ht="84" customHeight="1">
      <x:c r="A70" s="21" t="str">
        <x:v>ghg_total_management</x:v>
      </x:c>
      <x:c r="B70" s="21" t="str">
        <x:v>Emissões totais segundo critérios da administração</x:v>
      </x:c>
      <x:c r="C70" s="51" t="n">
        <x:v>20290000</x:v>
      </x:c>
      <x:c r="D70" s="21" t="str">
        <x:v>tCO2e</x:v>
      </x:c>
      <x:c r="E70" s="21" t="str">
        <x:v>FY2025</x:v>
      </x:c>
      <x:c r="F70" s="21" t="str">
        <x:v>Executado, reportado</x:v>
      </x:c>
      <x:c r="G70" s="21"/>
      <x:c r="H70" s="21" t="str">
        <x:v>IMPACT_1</x:v>
      </x:c>
      <x:c r="I70" s="21" t="str">
        <x:v>p.4 tabela 1B</x:v>
      </x:c>
      <x:c r="J70" s="21" t="str">
        <x:v>Deloitte &amp; Touche LLP</x:v>
      </x:c>
      <x:c r="K70" s="21" t="str">
        <x:v>Revisão limitada AICPA AT-C 105/210 sobre asserção da administração e informação especificada da seção 1 FY25; critérios seção 1.10. Parecer de 09/07/2026. Não é exame com asseguração razoável.</x:v>
      </x:c>
      <x:c r="L70" s="21" t="str">
        <x:v>Contribuinte: Microsoft. Forma: indicador_fisico. Alinhamento: confirmed. Grupo de sobreposição: ghg_alternative_scopes_and_totals. Não é valor financeiro de aporte; não inferir abatimento fiscal ou custo.</x:v>
      </x:c>
    </x:row>
    <x:row r="71" ht="84" customHeight="1">
      <x:c r="A71" s="21" t="str">
        <x:v>energy_total</x:v>
      </x:c>
      <x:c r="B71" s="21" t="str">
        <x:v>Consumo total de energia</x:v>
      </x:c>
      <x:c r="C71" s="51" t="n">
        <x:v>37461476</x:v>
      </x:c>
      <x:c r="D71" s="21" t="str">
        <x:v>MWh</x:v>
      </x:c>
      <x:c r="E71" s="21" t="str">
        <x:v>FY2025</x:v>
      </x:c>
      <x:c r="F71" s="21" t="str">
        <x:v>Executado, reportado</x:v>
      </x:c>
      <x:c r="G71" s="21"/>
      <x:c r="H71" s="21" t="str">
        <x:v>IMPACT_1</x:v>
      </x:c>
      <x:c r="I71" s="21" t="str">
        <x:v>p.6 tabela 5</x:v>
      </x:c>
      <x:c r="J71" s="21" t="str">
        <x:v>Deloitte &amp; Touche LLP</x:v>
      </x:c>
      <x:c r="K71" s="21" t="str">
        <x:v>Revisão limitada AICPA AT-C 105/210 sobre asserção da administração e informação especificada da seção 1 FY25; critérios seção 1.10. Parecer de 09/07/2026. Não é exame com asseguração razoável.</x:v>
      </x:c>
      <x:c r="L71" s="21" t="str">
        <x:v>Contribuinte: Microsoft. Forma: indicador_fisico. Alinhamento: confirmed. Grupo de sobreposição: environment_energy_total. Não é valor financeiro de aporte; não inferir abatimento fiscal ou custo.</x:v>
      </x:c>
    </x:row>
    <x:row r="72" ht="84" customHeight="1">
      <x:c r="A72" s="21" t="str">
        <x:v>electricity</x:v>
      </x:c>
      <x:c r="B72" s="21" t="str">
        <x:v>Eletricidade consumida</x:v>
      </x:c>
      <x:c r="C72" s="51" t="n">
        <x:v>37026353</x:v>
      </x:c>
      <x:c r="D72" s="21" t="str">
        <x:v>MWh</x:v>
      </x:c>
      <x:c r="E72" s="21" t="str">
        <x:v>FY2025</x:v>
      </x:c>
      <x:c r="F72" s="21" t="str">
        <x:v>Executado, reportado</x:v>
      </x:c>
      <x:c r="G72" s="21"/>
      <x:c r="H72" s="21" t="str">
        <x:v>IMPACT_1</x:v>
      </x:c>
      <x:c r="I72" s="21" t="str">
        <x:v>p.6 tabela 5</x:v>
      </x:c>
      <x:c r="J72" s="21" t="str">
        <x:v>Deloitte &amp; Touche LLP</x:v>
      </x:c>
      <x:c r="K72" s="21" t="str">
        <x:v>Revisão limitada AICPA AT-C 105/210 sobre asserção da administração e informação especificada da seção 1 FY25; critérios seção 1.10. Parecer de 09/07/2026. Não é exame com asseguração razoável.</x:v>
      </x:c>
      <x:c r="L72" s="21" t="str">
        <x:v>Contribuinte: Microsoft. Forma: indicador_fisico. Alinhamento: confirmed. Grupo de sobreposição: environment_electricity. Não é valor financeiro de aporte; não inferir abatimento fiscal ou custo.</x:v>
      </x:c>
    </x:row>
    <x:row r="73" ht="84" customHeight="1">
      <x:c r="A73" s="21" t="str">
        <x:v>renewable_matched_mwh</x:v>
      </x:c>
      <x:c r="B73" s="21" t="str">
        <x:v>Eletricidade renovável casada para contabilidade operacional</x:v>
      </x:c>
      <x:c r="C73" s="51" t="n">
        <x:v>34534392</x:v>
      </x:c>
      <x:c r="D73" s="21" t="str">
        <x:v>MWh</x:v>
      </x:c>
      <x:c r="E73" s="21" t="str">
        <x:v>FY2025</x:v>
      </x:c>
      <x:c r="F73" s="21" t="str">
        <x:v>Executado, reportado</x:v>
      </x:c>
      <x:c r="G73" s="21"/>
      <x:c r="H73" s="21" t="str">
        <x:v>IMPACT_1</x:v>
      </x:c>
      <x:c r="I73" s="21" t="str">
        <x:v>p.6 tabela 5</x:v>
      </x:c>
      <x:c r="J73" s="21" t="str">
        <x:v>Deloitte &amp; Touche LLP</x:v>
      </x:c>
      <x:c r="K73" s="21" t="str">
        <x:v>Revisão limitada AICPA AT-C 105/210 sobre asserção da administração e informação especificada da seção 1 FY25; critérios seção 1.10. Parecer de 09/07/2026. Não é exame com asseguração razoável.</x:v>
      </x:c>
      <x:c r="L73" s="21" t="str">
        <x:v>Contribuinte: Microsoft. Forma: indicador_fisico. Alinhamento: confirmed. Grupo de sobreposição: environment_renewable_matched_mwh. Não é valor financeiro de aporte; não inferir abatimento fiscal ou custo. Tabela 6 inclui fração renovável da rede; tabela 5 exclui essa fração e volumes de Scope 3. Critérios diferentes. Casamento anual não demonstra fornecimento livre de carbono 24/7 por instalação.</x:v>
      </x:c>
    </x:row>
    <x:row r="74" ht="84" customHeight="1">
      <x:c r="A74" s="21" t="str">
        <x:v>direct_renewable_pct</x:v>
      </x:c>
      <x:c r="B74" s="21" t="str">
        <x:v>Eletricidade renovável direta segundo critério da tabela 6</x:v>
      </x:c>
      <x:c r="C74" s="51" t="n">
        <x:v>100</x:v>
      </x:c>
      <x:c r="D74" s="21" t="str">
        <x:v>percent</x:v>
      </x:c>
      <x:c r="E74" s="21" t="str">
        <x:v>FY2025</x:v>
      </x:c>
      <x:c r="F74" s="21" t="str">
        <x:v>Executado, reportado</x:v>
      </x:c>
      <x:c r="G74" s="21"/>
      <x:c r="H74" s="21" t="str">
        <x:v>IMPACT_1</x:v>
      </x:c>
      <x:c r="I74" s="21" t="str">
        <x:v>p.6 tabela 6</x:v>
      </x:c>
      <x:c r="J74" s="21" t="str">
        <x:v>Deloitte &amp; Touche LLP</x:v>
      </x:c>
      <x:c r="K74" s="21" t="str">
        <x:v>Revisão limitada AICPA AT-C 105/210 sobre asserção da administração e informação especificada da seção 1 FY25; critérios seção 1.10. Parecer de 09/07/2026. Não é exame com asseguração razoável.</x:v>
      </x:c>
      <x:c r="L74" s="21" t="str">
        <x:v>Contribuinte: Microsoft. Forma: indicador_fisico. Alinhamento: confirmed. Grupo de sobreposição: environment_direct_renewable_pct. Não é valor financeiro de aporte; não inferir abatimento fiscal ou custo. Tabela 6 inclui fração renovável da rede; tabela 5 exclui essa fração e volumes de Scope 3. Critérios diferentes. Casamento anual não demonstra fornecimento livre de carbono 24/7 por instalação.</x:v>
      </x:c>
    </x:row>
    <x:row r="75" ht="84" customHeight="1">
      <x:c r="A75" s="21" t="str">
        <x:v>water_withdrawal</x:v>
      </x:c>
      <x:c r="B75" s="21" t="str">
        <x:v>Retirada total de água</x:v>
      </x:c>
      <x:c r="C75" s="51" t="n">
        <x:v>13266</x:v>
      </x:c>
      <x:c r="D75" s="21" t="str">
        <x:v>ML</x:v>
      </x:c>
      <x:c r="E75" s="21" t="str">
        <x:v>FY2025</x:v>
      </x:c>
      <x:c r="F75" s="21" t="str">
        <x:v>Executado, reportado</x:v>
      </x:c>
      <x:c r="G75" s="21"/>
      <x:c r="H75" s="21" t="str">
        <x:v>IMPACT_1</x:v>
      </x:c>
      <x:c r="I75" s="21" t="str">
        <x:v>p.7 tabela 8</x:v>
      </x:c>
      <x:c r="J75" s="21" t="str">
        <x:v>Deloitte &amp; Touche LLP</x:v>
      </x:c>
      <x:c r="K75" s="21" t="str">
        <x:v>Revisão limitada AICPA AT-C 105/210 sobre asserção da administração e informação especificada da seção 1 FY25; critérios seção 1.10. Parecer de 09/07/2026. Não é exame com asseguração razoável.</x:v>
      </x:c>
      <x:c r="L75" s="21" t="str">
        <x:v>Contribuinte: Microsoft. Forma: indicador_fisico. Alinhamento: confirmed. Grupo de sobreposição: water_inventory. Não é valor financeiro de aporte; não inferir abatimento fiscal ou custo.</x:v>
      </x:c>
    </x:row>
    <x:row r="76" ht="84" customHeight="1">
      <x:c r="A76" s="21" t="str">
        <x:v>water_consumption</x:v>
      </x:c>
      <x:c r="B76" s="21" t="str">
        <x:v>Consumo total de água</x:v>
      </x:c>
      <x:c r="C76" s="51" t="n">
        <x:v>8170</x:v>
      </x:c>
      <x:c r="D76" s="21" t="str">
        <x:v>ML</x:v>
      </x:c>
      <x:c r="E76" s="21" t="str">
        <x:v>FY2025</x:v>
      </x:c>
      <x:c r="F76" s="21" t="str">
        <x:v>Executado, reportado</x:v>
      </x:c>
      <x:c r="G76" s="21"/>
      <x:c r="H76" s="21" t="str">
        <x:v>IMPACT_1</x:v>
      </x:c>
      <x:c r="I76" s="21" t="str">
        <x:v>p.7 tabela 8</x:v>
      </x:c>
      <x:c r="J76" s="21" t="str">
        <x:v>Deloitte &amp; Touche LLP</x:v>
      </x:c>
      <x:c r="K76" s="21" t="str">
        <x:v>Revisão limitada AICPA AT-C 105/210 sobre asserção da administração e informação especificada da seção 1 FY25; critérios seção 1.10. Parecer de 09/07/2026. Não é exame com asseguração razoável.</x:v>
      </x:c>
      <x:c r="L76" s="21" t="str">
        <x:v>Contribuinte: Microsoft. Forma: indicador_fisico. Alinhamento: confirmed. Grupo de sobreposição: water_inventory. Não é valor financeiro de aporte; não inferir abatimento fiscal ou custo.</x:v>
      </x:c>
    </x:row>
    <x:row r="77" ht="84" customHeight="1">
      <x:c r="A77" s="21" t="str">
        <x:v>water_discharge</x:v>
      </x:c>
      <x:c r="B77" s="21" t="str">
        <x:v>Descarga de água</x:v>
      </x:c>
      <x:c r="C77" s="51" t="n">
        <x:v>5096</x:v>
      </x:c>
      <x:c r="D77" s="21" t="str">
        <x:v>ML</x:v>
      </x:c>
      <x:c r="E77" s="21" t="str">
        <x:v>FY2025</x:v>
      </x:c>
      <x:c r="F77" s="21" t="str">
        <x:v>Executado, reportado</x:v>
      </x:c>
      <x:c r="G77" s="21"/>
      <x:c r="H77" s="21" t="str">
        <x:v>IMPACT_1</x:v>
      </x:c>
      <x:c r="I77" s="21" t="str">
        <x:v>p.7 tabela 8</x:v>
      </x:c>
      <x:c r="J77" s="21" t="str">
        <x:v>Deloitte &amp; Touche LLP</x:v>
      </x:c>
      <x:c r="K77" s="21" t="str">
        <x:v>Revisão limitada AICPA AT-C 105/210 sobre asserção da administração e informação especificada da seção 1 FY25; critérios seção 1.10. Parecer de 09/07/2026. Não é exame com asseguração razoável.</x:v>
      </x:c>
      <x:c r="L77" s="21" t="str">
        <x:v>Contribuinte: Microsoft. Forma: indicador_fisico. Alinhamento: confirmed. Grupo de sobreposição: water_inventory. Não é valor financeiro de aporte; não inferir abatimento fiscal ou custo.</x:v>
      </x:c>
    </x:row>
    <x:row r="78" ht="84" customHeight="1">
      <x:c r="A78" s="21" t="str">
        <x:v>water_stress_withdrawal</x:v>
      </x:c>
      <x:c r="B78" s="21" t="str">
        <x:v>Retirada em áreas de estresse hídrico</x:v>
      </x:c>
      <x:c r="C78" s="51" t="n">
        <x:v>6659</x:v>
      </x:c>
      <x:c r="D78" s="21" t="str">
        <x:v>ML</x:v>
      </x:c>
      <x:c r="E78" s="21" t="str">
        <x:v>FY2025</x:v>
      </x:c>
      <x:c r="F78" s="21" t="str">
        <x:v>Executado, reportado</x:v>
      </x:c>
      <x:c r="G78" s="21"/>
      <x:c r="H78" s="21" t="str">
        <x:v>IMPACT_1</x:v>
      </x:c>
      <x:c r="I78" s="21" t="str">
        <x:v>p.7 tabela 8 nota 2</x:v>
      </x:c>
      <x:c r="J78" s="21" t="str">
        <x:v>Deloitte &amp; Touche LLP</x:v>
      </x:c>
      <x:c r="K78" s="21" t="str">
        <x:v>Revisão limitada AICPA AT-C 105/210 sobre asserção da administração e informação especificada da seção 1 FY25; critérios seção 1.10. Parecer de 09/07/2026. Não é exame com asseguração razoável.</x:v>
      </x:c>
      <x:c r="L78" s="21" t="str">
        <x:v>Contribuinte: Microsoft. Forma: indicador_fisico. Alinhamento: confirmed. Grupo de sobreposição: water_inventory. Não é valor financeiro de aporte; não inferir abatimento fiscal ou custo.</x:v>
      </x:c>
    </x:row>
    <x:row r="79" ht="84" customHeight="1">
      <x:c r="A79" s="21" t="str">
        <x:v>water_stress_consumption</x:v>
      </x:c>
      <x:c r="B79" s="21" t="str">
        <x:v>Consumo em áreas de estresse hídrico</x:v>
      </x:c>
      <x:c r="C79" s="51" t="n">
        <x:v>3926</x:v>
      </x:c>
      <x:c r="D79" s="21" t="str">
        <x:v>ML</x:v>
      </x:c>
      <x:c r="E79" s="21" t="str">
        <x:v>FY2025</x:v>
      </x:c>
      <x:c r="F79" s="21" t="str">
        <x:v>Executado, reportado</x:v>
      </x:c>
      <x:c r="G79" s="21"/>
      <x:c r="H79" s="21" t="str">
        <x:v>IMPACT_1</x:v>
      </x:c>
      <x:c r="I79" s="21" t="str">
        <x:v>p.7 tabela 8 nota 2</x:v>
      </x:c>
      <x:c r="J79" s="21" t="str">
        <x:v>Deloitte &amp; Touche LLP</x:v>
      </x:c>
      <x:c r="K79" s="21" t="str">
        <x:v>Revisão limitada AICPA AT-C 105/210 sobre asserção da administração e informação especificada da seção 1 FY25; critérios seção 1.10. Parecer de 09/07/2026. Não é exame com asseguração razoável.</x:v>
      </x:c>
      <x:c r="L79" s="21" t="str">
        <x:v>Contribuinte: Microsoft. Forma: indicador_fisico. Alinhamento: confirmed. Grupo de sobreposição: water_inventory. Não é valor financeiro de aporte; não inferir abatimento fiscal ou custo.</x:v>
      </x:c>
    </x:row>
    <x:row r="80" ht="84" customHeight="1">
      <x:c r="A80" s="21" t="str">
        <x:v>waste_generated</x:v>
      </x:c>
      <x:c r="B80" s="21" t="str">
        <x:v>Resíduos operacionais gerados</x:v>
      </x:c>
      <x:c r="C80" s="51" t="n">
        <x:v>58868</x:v>
      </x:c>
      <x:c r="D80" s="21" t="str">
        <x:v>metric_tonnes</x:v>
      </x:c>
      <x:c r="E80" s="21" t="str">
        <x:v>FY2025</x:v>
      </x:c>
      <x:c r="F80" s="21" t="str">
        <x:v>Executado, reportado</x:v>
      </x:c>
      <x:c r="G80" s="21"/>
      <x:c r="H80" s="21" t="str">
        <x:v>IMPACT_1</x:v>
      </x:c>
      <x:c r="I80" s="21" t="str">
        <x:v>p.7 tabela 9</x:v>
      </x:c>
      <x:c r="J80" s="21" t="str">
        <x:v>Deloitte &amp; Touche LLP</x:v>
      </x:c>
      <x:c r="K80" s="21" t="str">
        <x:v>Revisão limitada AICPA AT-C 105/210 sobre asserção da administração e informação especificada da seção 1 FY25; critérios seção 1.10. Parecer de 09/07/2026. Não é exame com asseguração razoável.</x:v>
      </x:c>
      <x:c r="L80" s="21" t="str">
        <x:v>Contribuinte: Microsoft. Forma: indicador_fisico. Alinhamento: confirmed. Grupo de sobreposição: waste_inventory. Não é valor financeiro de aporte; não inferir abatimento fiscal ou custo. FY25 adiciona embalagens de hardware de nuvem; anos anteriores não foram ajustados por falta de dados. Prevenção não deve ser somada como gasto/doação.</x:v>
      </x:c>
    </x:row>
    <x:row r="81" ht="84" customHeight="1">
      <x:c r="A81" s="21" t="str">
        <x:v>waste_diverted</x:v>
      </x:c>
      <x:c r="B81" s="21" t="str">
        <x:v>Resíduos operacionais desviados de disposição</x:v>
      </x:c>
      <x:c r="C81" s="51" t="n">
        <x:v>36149</x:v>
      </x:c>
      <x:c r="D81" s="21" t="str">
        <x:v>metric_tonnes</x:v>
      </x:c>
      <x:c r="E81" s="21" t="str">
        <x:v>FY2025</x:v>
      </x:c>
      <x:c r="F81" s="21" t="str">
        <x:v>Executado, reportado</x:v>
      </x:c>
      <x:c r="G81" s="21"/>
      <x:c r="H81" s="21" t="str">
        <x:v>IMPACT_1</x:v>
      </x:c>
      <x:c r="I81" s="21" t="str">
        <x:v>p.7 tabela 9</x:v>
      </x:c>
      <x:c r="J81" s="21" t="str">
        <x:v>Deloitte &amp; Touche LLP</x:v>
      </x:c>
      <x:c r="K81" s="21" t="str">
        <x:v>Revisão limitada AICPA AT-C 105/210 sobre asserção da administração e informação especificada da seção 1 FY25; critérios seção 1.10. Parecer de 09/07/2026. Não é exame com asseguração razoável.</x:v>
      </x:c>
      <x:c r="L81" s="21" t="str">
        <x:v>Contribuinte: Microsoft. Forma: indicador_fisico. Alinhamento: confirmed. Grupo de sobreposição: waste_inventory. Não é valor financeiro de aporte; não inferir abatimento fiscal ou custo. FY25 adiciona embalagens de hardware de nuvem; anos anteriores não foram ajustados por falta de dados. Prevenção não deve ser somada como gasto/doação.</x:v>
      </x:c>
    </x:row>
    <x:row r="82" ht="84" customHeight="1">
      <x:c r="A82" s="21" t="str">
        <x:v>waste_disposed</x:v>
      </x:c>
      <x:c r="B82" s="21" t="str">
        <x:v>Resíduos operacionais destinados a disposição</x:v>
      </x:c>
      <x:c r="C82" s="51" t="n">
        <x:v>22719</x:v>
      </x:c>
      <x:c r="D82" s="21" t="str">
        <x:v>metric_tonnes</x:v>
      </x:c>
      <x:c r="E82" s="21" t="str">
        <x:v>FY2025</x:v>
      </x:c>
      <x:c r="F82" s="21" t="str">
        <x:v>Executado, reportado</x:v>
      </x:c>
      <x:c r="G82" s="21"/>
      <x:c r="H82" s="21" t="str">
        <x:v>IMPACT_1</x:v>
      </x:c>
      <x:c r="I82" s="21" t="str">
        <x:v>p.7 tabela 9</x:v>
      </x:c>
      <x:c r="J82" s="21" t="str">
        <x:v>Deloitte &amp; Touche LLP</x:v>
      </x:c>
      <x:c r="K82" s="21" t="str">
        <x:v>Revisão limitada AICPA AT-C 105/210 sobre asserção da administração e informação especificada da seção 1 FY25; critérios seção 1.10. Parecer de 09/07/2026. Não é exame com asseguração razoável.</x:v>
      </x:c>
      <x:c r="L82" s="21" t="str">
        <x:v>Contribuinte: Microsoft. Forma: indicador_fisico. Alinhamento: confirmed. Grupo de sobreposição: waste_inventory. Não é valor financeiro de aporte; não inferir abatimento fiscal ou custo. FY25 adiciona embalagens de hardware de nuvem; anos anteriores não foram ajustados por falta de dados. Prevenção não deve ser somada como gasto/doação.</x:v>
      </x:c>
    </x:row>
    <x:row r="83" ht="84" customHeight="1">
      <x:c r="A83" s="21" t="str">
        <x:v>waste_prevented</x:v>
      </x:c>
      <x:c r="B83" s="21" t="str">
        <x:v>Prevenção estimada de resíduos por reúso/redução nos locais reportados</x:v>
      </x:c>
      <x:c r="C83" s="51" t="n">
        <x:v>7646</x:v>
      </x:c>
      <x:c r="D83" s="21" t="str">
        <x:v>metric_tonnes</x:v>
      </x:c>
      <x:c r="E83" s="21" t="str">
        <x:v>FY2025</x:v>
      </x:c>
      <x:c r="F83" s="21" t="str">
        <x:v>Executado, reportado</x:v>
      </x:c>
      <x:c r="G83" s="21"/>
      <x:c r="H83" s="21" t="str">
        <x:v>IMPACT_1</x:v>
      </x:c>
      <x:c r="I83" s="21" t="str">
        <x:v>p.8 tabela 10</x:v>
      </x:c>
      <x:c r="J83" s="21" t="str">
        <x:v>Deloitte &amp; Touche LLP</x:v>
      </x:c>
      <x:c r="K83" s="21" t="str">
        <x:v>Revisão limitada AICPA AT-C 105/210 sobre asserção da administração e informação especificada da seção 1 FY25; critérios seção 1.10. Parecer de 09/07/2026. Não é exame com asseguração razoável.</x:v>
      </x:c>
      <x:c r="L83" s="21" t="str">
        <x:v>Contribuinte: Microsoft. Forma: indicador_fisico. Alinhamento: confirmed. Grupo de sobreposição: waste_inventory. Não é valor financeiro de aporte; não inferir abatimento fiscal ou custo. FY25 adiciona embalagens de hardware de nuvem; anos anteriores não foram ajustados por falta de dados. Prevenção não deve ser somada como gasto/doação.</x:v>
      </x:c>
    </x:row>
    <x:row r="84" ht="84" customHeight="1">
      <x:c r="A84" s="21" t="str">
        <x:v>packaging_recyclable</x:v>
      </x:c>
      <x:c r="B84" s="21" t="str">
        <x:v>Reciclabilidade das embalagens de produtos</x:v>
      </x:c>
      <x:c r="C84" s="51" t="n">
        <x:v>95.8</x:v>
      </x:c>
      <x:c r="D84" s="21" t="str">
        <x:v>percent</x:v>
      </x:c>
      <x:c r="E84" s="21" t="str">
        <x:v>FY2025</x:v>
      </x:c>
      <x:c r="F84" s="21" t="str">
        <x:v>Executado, reportado</x:v>
      </x:c>
      <x:c r="G84" s="21"/>
      <x:c r="H84" s="21" t="str">
        <x:v>IMPACT_1</x:v>
      </x:c>
      <x:c r="I84" s="21" t="str">
        <x:v>p.8 tabela 11</x:v>
      </x:c>
      <x:c r="J84" s="21" t="str">
        <x:v>Deloitte &amp; Touche LLP</x:v>
      </x:c>
      <x:c r="K84" s="21" t="str">
        <x:v>Revisão limitada AICPA AT-C 105/210 sobre asserção da administração e informação especificada da seção 1 FY25; critérios seção 1.10. Parecer de 09/07/2026. Não é exame com asseguração razoável.</x:v>
      </x:c>
      <x:c r="L84" s="21" t="str">
        <x:v>Contribuinte: Microsoft. Forma: indicador_fisico. Alinhamento: confirmed. Grupo de sobreposição: environment_packaging_recyclable. Não é valor financeiro de aporte; não inferir abatimento fiscal ou custo.</x:v>
      </x:c>
    </x:row>
    <x:row r="85" ht="84" customHeight="1">
      <x:c r="A85" s="21" t="str">
        <x:v>packaging_singleuse_fy</x:v>
      </x:c>
      <x:c r="B85" s="21" t="str">
        <x:v>Plásticos de uso único nas embalagens primárias, FY25</x:v>
      </x:c>
      <x:c r="C85" s="51" t="n">
        <x:v>4.2</x:v>
      </x:c>
      <x:c r="D85" s="21" t="str">
        <x:v>percent</x:v>
      </x:c>
      <x:c r="E85" s="21" t="str">
        <x:v>FY2025</x:v>
      </x:c>
      <x:c r="F85" s="21" t="str">
        <x:v>Executado, reportado</x:v>
      </x:c>
      <x:c r="G85" s="21"/>
      <x:c r="H85" s="21" t="str">
        <x:v>IMPACT_1</x:v>
      </x:c>
      <x:c r="I85" s="21" t="str">
        <x:v>p.8 tabela 11</x:v>
      </x:c>
      <x:c r="J85" s="21" t="str">
        <x:v>Deloitte &amp; Touche LLP</x:v>
      </x:c>
      <x:c r="K85" s="21" t="str">
        <x:v>Revisão limitada AICPA AT-C 105/210 sobre asserção da administração e informação especificada da seção 1 FY25; critérios seção 1.10. Parecer de 09/07/2026. Não é exame com asseguração razoável.</x:v>
      </x:c>
      <x:c r="L85" s="21" t="str">
        <x:v>Contribuinte: Microsoft. Forma: indicador_fisico. Alinhamento: confirmed. Grupo de sobreposição: environment_packaging_singleuse_fy. Não é valor financeiro de aporte; não inferir abatimento fiscal ou custo.</x:v>
      </x:c>
    </x:row>
    <x:row r="86" ht="98" customHeight="1">
      <x:c r="A86" s="21" t="str">
        <x:v>land_protected</x:v>
      </x:c>
      <x:c r="B86" s="21" t="str">
        <x:v>Área protegida atribuída a contribuições da Microsoft, posição final</x:v>
      </x:c>
      <x:c r="C86" s="51" t="n">
        <x:v>16266</x:v>
      </x:c>
      <x:c r="D86" s="21" t="str">
        <x:v>acres</x:v>
      </x:c>
      <x:c r="E86" s="21" t="str">
        <x:v>FY2025</x:v>
      </x:c>
      <x:c r="F86" s="21" t="str">
        <x:v>Executado, reportado</x:v>
      </x:c>
      <x:c r="G86" s="21"/>
      <x:c r="H86" s="21" t="str">
        <x:v>IMPACT_1</x:v>
      </x:c>
      <x:c r="I86" s="21" t="str">
        <x:v>p.8 tabela 12 e p.22 critérios</x:v>
      </x:c>
      <x:c r="J86" s="21" t="str">
        <x:v>Deloitte &amp; Touche LLP</x:v>
      </x:c>
      <x:c r="K86" s="21" t="str">
        <x:v>Revisão limitada AICPA AT-C 105/210 sobre asserção da administração e informação especificada da seção 1 FY25; critérios seção 1.10. Parecer de 09/07/2026. Não é exame com asseguração razoável.</x:v>
      </x:c>
      <x:c r="L86" s="21" t="str">
        <x:v>Contribuinte: Microsoft. Forma: indicador_fisico. Alinhamento: confirmed. Grupo de sobreposição: environment_land_protected. Não é valor financeiro de aporte; não inferir abatimento fiscal ou custo. Estoque cumulativo, não novas aquisições FY25. Área atribuída por contribuição dividida pelo custo por acre do parceiro, líquida de overhead; não implica propriedade Microsoft. Financiado e protegido se sobrepõem, não somar.</x:v>
      </x:c>
    </x:row>
    <x:row r="87" ht="70" customHeight="1">
      <x:c r="A87" s="21" t="str">
        <x:v>packaging_singleuse_cy</x:v>
      </x:c>
      <x:c r="B87" s="21" t="str">
        <x:v>Plásticos de uso único nas embalagens primárias no fim de CY2025</x:v>
      </x:c>
      <x:c r="C87" s="51" t="n">
        <x:v>0.07</x:v>
      </x:c>
      <x:c r="D87" s="21" t="str">
        <x:v>percent</x:v>
      </x:c>
      <x:c r="E87" s="21" t="str">
        <x:v>fim do ano-calendário 2025</x:v>
      </x:c>
      <x:c r="F87" s="21" t="str">
        <x:v>Executado, reportado</x:v>
      </x:c>
      <x:c r="G87" s="21"/>
      <x:c r="H87" s="21" t="str">
        <x:v>IMPACT_1</x:v>
      </x:c>
      <x:c r="I87" s="21" t="str">
        <x:v>p.8 tabela 11 nota 3</x:v>
      </x:c>
      <x:c r="J87" s="21" t="str">
        <x:v>Deloitte &amp; Touche LLP</x:v>
      </x:c>
      <x:c r="K87" s="21" t="str">
        <x:v>Revisão limitada Deloitte também inclui especificamente a informação da tabela11 nota3 para31/12/2025; exceção temporal expressa no parecer09/07/2026.</x:v>
      </x:c>
      <x:c r="L87" s="21" t="str">
        <x:v>Contribuinte: Microsoft. Forma: indicador_fisico. Alinhamento: outside_FY25. Grupo de sobreposição: packaging_singleuse. Não é valor financeiro de aporte; não inferir abatimento fiscal ou custo.</x:v>
      </x:c>
    </x:row>
    <x:row r="88" ht="84" customHeight="1">
      <x:c r="A88" s="21" t="str">
        <x:v>water_replenished</x:v>
      </x:c>
      <x:c r="B88" s="21" t="str">
        <x:v>Reposição hídrica anual reportada, superior a 14,2 milhões de m³</x:v>
      </x:c>
      <x:c r="C88" s="51" t="n">
        <x:v>14200000</x:v>
      </x:c>
      <x:c r="D88" s="21" t="str">
        <x:v>m3</x:v>
      </x:c>
      <x:c r="E88" s="21" t="str">
        <x:v>FY2025</x:v>
      </x:c>
      <x:c r="F88" s="21" t="str">
        <x:v>Executado, reportado</x:v>
      </x:c>
      <x:c r="G88" s="21"/>
      <x:c r="H88" s="21" t="str">
        <x:v>IMPACT_2</x:v>
      </x:c>
      <x:c r="I88" s="21" t="str">
        <x:v>p.24 Water</x:v>
      </x:c>
      <x:c r="J88" s="21" t="str">
        <x:v>Microsoft — autorrelato</x:v>
      </x:c>
      <x:c r="K88" s="21" t="str">
        <x:v>Sem asseguração independente identificada para este indicador.</x:v>
      </x:c>
      <x:c r="L88" s="21" t="str">
        <x:v>Contribuinte: Microsoft. Forma: indicador_fisico. Valor informado como superior ao número registrado. Alinhamento: confirmed. Grupo de sobreposição: water_replenishment. Não é valor financeiro de aporte; não inferir abatimento fiscal ou custo. Fora do escopo da revisão limitada citada. Resultado global não prova compensação em cada bacia/local ou ausência de dano hídrico. Não equivale a desembolso financeiro.</x:v>
      </x:c>
    </x:row>
    <x:row r="89" ht="70" customHeight="1">
      <x:c r="A89" s="21" t="str">
        <x:v>water_new_projects</x:v>
      </x:c>
      <x:c r="B89" s="21" t="str">
        <x:v>Novos projetos de reposição financiados em FY25</x:v>
      </x:c>
      <x:c r="C89" s="51" t="n">
        <x:v>24</x:v>
      </x:c>
      <x:c r="D89" s="21" t="str">
        <x:v>projects</x:v>
      </x:c>
      <x:c r="E89" s="21" t="str">
        <x:v>FY2025</x:v>
      </x:c>
      <x:c r="F89" s="21" t="str">
        <x:v>Executado, reportado</x:v>
      </x:c>
      <x:c r="G89" s="21"/>
      <x:c r="H89" s="21" t="str">
        <x:v>IMPACT_2</x:v>
      </x:c>
      <x:c r="I89" s="21" t="str">
        <x:v>p.24 Water</x:v>
      </x:c>
      <x:c r="J89" s="21" t="str">
        <x:v>Microsoft — autorrelato</x:v>
      </x:c>
      <x:c r="K89" s="21" t="str">
        <x:v>Sem asseguração independente identificada para este indicador.</x:v>
      </x:c>
      <x:c r="L89" s="21" t="str">
        <x:v>Contribuinte: Microsoft. Forma: financiamento_valor_nao_divulgado. Alinhamento: confirmed. Grupo de sobreposição: water_replenishment. Benefício fiscal específico e custo líquido após tributos não divulgados/não verificados; não imputar valor. Valor monetário e pagamento por projeto ausentes.</x:v>
      </x:c>
    </x:row>
    <x:row r="90" ht="70" customHeight="1">
      <x:c r="A90" s="21" t="str">
        <x:v>water_new_lifetime</x:v>
      </x:c>
      <x:c r="B90" s="21" t="str">
        <x:v>Benefício hídrico estimado durante a vida dos 24 novos projetos</x:v>
      </x:c>
      <x:c r="C90" s="51" t="n">
        <x:v>29000000</x:v>
      </x:c>
      <x:c r="D90" s="21" t="str">
        <x:v>m3</x:v>
      </x:c>
      <x:c r="E90" s="21" t="str">
        <x:v>vida futura dos projetos financiados em FY25</x:v>
      </x:c>
      <x:c r="F90" s="21" t="str">
        <x:v>Projetado</x:v>
      </x:c>
      <x:c r="G90" s="21"/>
      <x:c r="H90" s="21" t="str">
        <x:v>IMPACT_2</x:v>
      </x:c>
      <x:c r="I90" s="21" t="str">
        <x:v>p.24 Water</x:v>
      </x:c>
      <x:c r="J90" s="21" t="str">
        <x:v>Microsoft — autorrelato</x:v>
      </x:c>
      <x:c r="K90" s="21" t="str">
        <x:v>Sem asseguração independente identificada para este indicador.</x:v>
      </x:c>
      <x:c r="L90" s="21" t="str">
        <x:v>Contribuinte: Microsoft. Forma: indicador_fisico. Valor informado como superior ao número registrado. Alinhamento: multiyear_future. Grupo de sobreposição: water_replenishment. Não é valor financeiro de aporte; não inferir abatimento fiscal ou custo. Não é volume executado no FY25; integra carteira acumulada.</x:v>
      </x:c>
    </x:row>
    <x:row r="91" ht="70" customHeight="1">
      <x:c r="A91" s="21" t="str">
        <x:v>water_portfolio_lifetime</x:v>
      </x:c>
      <x:c r="B91" s="21" t="str">
        <x:v>Reposição contratada acumulada estimada durante vida dos projetos</x:v>
      </x:c>
      <x:c r="C91" s="51" t="n">
        <x:v>133000000</x:v>
      </x:c>
      <x:c r="D91" s="21" t="str">
        <x:v>m3</x:v>
      </x:c>
      <x:c r="E91" s="21" t="str">
        <x:v>carteira acumulada até FY25; vida dos contratos</x:v>
      </x:c>
      <x:c r="F91" s="21" t="str">
        <x:v>Contratado, projeção</x:v>
      </x:c>
      <x:c r="G91" s="21"/>
      <x:c r="H91" s="21" t="str">
        <x:v>IMPACT_2</x:v>
      </x:c>
      <x:c r="I91" s="21" t="str">
        <x:v>p.24 Water</x:v>
      </x:c>
      <x:c r="J91" s="21" t="str">
        <x:v>Microsoft — autorrelato</x:v>
      </x:c>
      <x:c r="K91" s="21" t="str">
        <x:v>Sem asseguração independente identificada para este indicador.</x:v>
      </x:c>
      <x:c r="L91" s="21" t="str">
        <x:v>Contribuinte: Microsoft. Forma: indicador_fisico. Valor informado como superior ao número registrado. Alinhamento: cumulative_multiyear. Grupo de sobreposição: water_replenishment. Não é valor financeiro de aporte; não inferir abatimento fiscal ou custo.</x:v>
      </x:c>
    </x:row>
    <x:row r="92" ht="84" customHeight="1">
      <x:c r="A92" s="21" t="str">
        <x:v>carbon_removal_contracted</x:v>
      </x:c>
      <x:c r="B92" s="21" t="str">
        <x:v>Remoção de carbono contratada em FY25</x:v>
      </x:c>
      <x:c r="C92" s="51" t="n">
        <x:v>45000000</x:v>
      </x:c>
      <x:c r="D92" s="21" t="str">
        <x:v>tCO2e</x:v>
      </x:c>
      <x:c r="E92" s="21" t="str">
        <x:v>contratos celebrados FY25; entregas futuras por até três décadas</x:v>
      </x:c>
      <x:c r="F92" s="21" t="str">
        <x:v>Contratado</x:v>
      </x:c>
      <x:c r="G92" s="21"/>
      <x:c r="H92" s="21" t="str">
        <x:v>IMPACT_2</x:v>
      </x:c>
      <x:c r="I92" s="21" t="str">
        <x:v>p.33; p.9 horizonte de três décadas</x:v>
      </x:c>
      <x:c r="J92" s="21" t="str">
        <x:v>Microsoft — autorrelato</x:v>
      </x:c>
      <x:c r="K92" s="21" t="str">
        <x:v>Sem asseguração independente identificada para este indicador.</x:v>
      </x:c>
      <x:c r="L92" s="21" t="str">
        <x:v>Contribuinte: Microsoft. Forma: compra_futura_valor_nao_divulgado. Alinhamento: FY25_contracts_not_deliveries. Grupo de sobreposição: não informado. Benefício fiscal específico e custo líquido após tributos não divulgados/não verificados; não imputar valor. Não subtrair 45 Mt das emissões anuais: contrato não comprova remoção entregue/verificada. Desembolso e valor de contratos não divulgados.</x:v>
      </x:c>
    </x:row>
    <x:row r="93" ht="70" customHeight="1">
      <x:c r="A93" s="21" t="str">
        <x:v>hardware_reuse_recycle</x:v>
      </x:c>
      <x:c r="B93" s="21" t="str">
        <x:v>Reúso ou reciclagem de servidores e componentes desativados</x:v>
      </x:c>
      <x:c r="C93" s="51" t="n">
        <x:v>92</x:v>
      </x:c>
      <x:c r="D93" s="21" t="str">
        <x:v>percent</x:v>
      </x:c>
      <x:c r="E93" s="21" t="str">
        <x:v>FY2025</x:v>
      </x:c>
      <x:c r="F93" s="21" t="str">
        <x:v>Executado, reportado</x:v>
      </x:c>
      <x:c r="G93" s="21"/>
      <x:c r="H93" s="21" t="str">
        <x:v>IMPACT_2</x:v>
      </x:c>
      <x:c r="I93" s="21" t="str">
        <x:v>p.7</x:v>
      </x:c>
      <x:c r="J93" s="21" t="str">
        <x:v>Microsoft — autorrelato</x:v>
      </x:c>
      <x:c r="K93" s="21" t="str">
        <x:v>Sem asseguração independente identificada para este indicador.</x:v>
      </x:c>
      <x:c r="L93" s="21" t="str">
        <x:v>Contribuinte: Microsoft. Forma: indicador_fisico. Alinhamento: confirmed. Grupo de sobreposição: não informado. Não é valor financeiro de aporte; não inferir abatimento fiscal ou custo. Autorrelato narrativo; não extrapolar para todos os resíduos nem confundir reúso com reciclagem.</x:v>
      </x:c>
    </x:row>
    <x:row r="94" ht="112" customHeight="1">
      <x:c r="A94" s="21" t="str">
        <x:v>employee_giving_ar</x:v>
      </x:c>
      <x:c r="B94" s="21" t="str">
        <x:v>Doações de empregados incluindo contrapartida empresarial no Annual Report/Impact Summary</x:v>
      </x:c>
      <x:c r="C94" s="51" t="n">
        <x:v>263000000</x:v>
      </x:c>
      <x:c r="D94" s="21" t="str">
        <x:v>USD</x:v>
      </x:c>
      <x:c r="E94" s="21" t="str">
        <x:v>this year no relatório anual2025; atribuição FY25 contextual, datas não explicitadas junto ao indicador</x:v>
      </x:c>
      <x:c r="F94" s="21" t="str">
        <x:v>Executado, reportado</x:v>
      </x:c>
      <x:c r="G94" s="21"/>
      <x:c r="H94" s="21" t="str">
        <x:v>IMPACT_3</x:v>
      </x:c>
      <x:c r="I94" s="21" t="str">
        <x:v>Carta do CEO, OUR PEOPLE; Impact Summary2025 p.5</x:v>
      </x:c>
      <x:c r="J94" s="21" t="str">
        <x:v>Microsoft — autorrelato</x:v>
      </x:c>
      <x:c r="K94" s="21" t="str">
        <x:v>Sem asseguração independente identificada para este indicador.</x:v>
      </x:c>
      <x:c r="L94" s="21" t="str">
        <x:v>Contribuinte: Empregados + Microsoft (company match não desagregado). Forma: doacoes_monetarias_agregadas. Alinhamento: requires_period_confirmation. Grupo de sobreposição: employee_giving_2025. Benefício fiscal específico e custo líquido após tributos não divulgados/não verificados; não imputar valor. Não é todo recurso próprio da empresa; parcela match desconhecida. Diverge de página de employee giving: US$255,6M em 2025; possível período/perímetro distinto não confirmado. Auditoria financeira não abrange automaticamente carta do CEO.</x:v>
      </x:c>
    </x:row>
    <x:row r="95" ht="98" customHeight="1">
      <x:c r="A95" s="21" t="str">
        <x:v>employee_giving_page</x:v>
      </x:c>
      <x:c r="B95" s="21" t="str">
        <x:v>Doações na página de employee engagement, incluindo company match</x:v>
      </x:c>
      <x:c r="C95" s="51" t="n">
        <x:v>255600000</x:v>
      </x:c>
      <x:c r="D95" s="21" t="str">
        <x:v>USD</x:v>
      </x:c>
      <x:c r="E95" s="21" t="str">
        <x:v>2025 conforme página; calendário/fiscal não explicitado</x:v>
      </x:c>
      <x:c r="F95" s="21" t="str">
        <x:v>Executado, reportado</x:v>
      </x:c>
      <x:c r="G95" s="21"/>
      <x:c r="H95" s="21" t="str">
        <x:v>IMPACT_6</x:v>
      </x:c>
      <x:c r="I95" s="21" t="str">
        <x:v>In 2025 / Employee giving by the numbers</x:v>
      </x:c>
      <x:c r="J95" s="21" t="str">
        <x:v>Microsoft — autorrelato</x:v>
      </x:c>
      <x:c r="K95" s="21" t="str">
        <x:v>Sem asseguração independente identificada para este indicador.</x:v>
      </x:c>
      <x:c r="L95" s="21" t="str">
        <x:v>Contribuinte: Empregados + Microsoft. Forma: doacoes_monetarias_agregadas. Alinhamento: requires_period_confirmation. Grupo de sobreposição: employee_giving_2025. Benefício fiscal específico e custo líquido após tributos não divulgados/não verificados; não imputar valor. 36.500 organizações e 110 países; valor não conciliado com US$263M/37.000 organizações. Não somar versões nem interpretar a diferença como desvio.</x:v>
      </x:c>
    </x:row>
    <x:row r="96" ht="84" customHeight="1">
      <x:c r="A96" s="21" t="str">
        <x:v>employee_volunteer_hours</x:v>
      </x:c>
      <x:c r="B96" s="21" t="str">
        <x:v>Horas de voluntariado reportadas, mais de 1,2 milhão</x:v>
      </x:c>
      <x:c r="C96" s="51" t="n">
        <x:v>1200000</x:v>
      </x:c>
      <x:c r="D96" s="21" t="str">
        <x:v>hours</x:v>
      </x:c>
      <x:c r="E96" s="21" t="str">
        <x:v>this year no Annual Report2025; janela exata não explicitada</x:v>
      </x:c>
      <x:c r="F96" s="21" t="str">
        <x:v>Executado, reportado</x:v>
      </x:c>
      <x:c r="G96" s="21"/>
      <x:c r="H96" s="21" t="str">
        <x:v>IMPACT_3</x:v>
      </x:c>
      <x:c r="I96" s="21" t="str">
        <x:v>Carta CEO, OUR PEOPLE</x:v>
      </x:c>
      <x:c r="J96" s="21" t="str">
        <x:v>Microsoft — autorrelato</x:v>
      </x:c>
      <x:c r="K96" s="21" t="str">
        <x:v>Sem asseguração independente identificada para este indicador.</x:v>
      </x:c>
      <x:c r="L96" s="21" t="str">
        <x:v>Contribuinte: Empregados. Forma: tempo_nao_monetizado. Valor informado como superior ao número registrado. Alinhamento: requires_period_confirmation. Grupo de sobreposição: employee_giving_2025. Benefício fiscal específico e custo líquido após tributos não divulgados/não verificados; não imputar valor. Não somar às doações monetárias; não multiplicar por salário sem metodologia de valoração.</x:v>
      </x:c>
    </x:row>
    <x:row r="97" ht="112" customHeight="1">
      <x:c r="A97" s="21" t="str">
        <x:v>elevate_pledge</x:v>
      </x:c>
      <x:c r="B97" s="21" t="str">
        <x:v>Compromisso global Elevate de mais de US$4 bilhões em dinheiro e tecnologia AI/cloud</x:v>
      </x:c>
      <x:c r="C97" s="51" t="n">
        <x:v>4000000000</x:v>
      </x:c>
      <x:c r="D97" s="21" t="str">
        <x:v>USD</x:v>
      </x:c>
      <x:c r="E97" s="21" t="str">
        <x:v>cinco anos após anúncio09/07/2025</x:v>
      </x:c>
      <x:c r="F97" s="21" t="str">
        <x:v>Anunciado</x:v>
      </x:c>
      <x:c r="G97" s="21"/>
      <x:c r="H97" s="21" t="str">
        <x:v>IMPACT_5</x:v>
      </x:c>
      <x:c r="I97" s="21" t="str">
        <x:v>Anúncio de 09/07/2025</x:v>
      </x:c>
      <x:c r="J97" s="21" t="str">
        <x:v>Microsoft — autorrelato</x:v>
      </x:c>
      <x:c r="K97" s="21" t="str">
        <x:v>Sem asseguração independente identificada para este indicador.</x:v>
      </x:c>
      <x:c r="L97" s="21" t="str">
        <x:v>Contribuinte: Microsoft. Forma: cash_e_in_kind_nao_desagregados. Valor informado como superior ao número registrado. Alinhamento: outside_FY25_future. Grupo de sobreposição: elevate_pledge. Benefício fiscal específico e custo líquido após tributos não divulgados/não verificados; não imputar valor. Anunciado após fechamento FY25, mesmo citado na carta anual. Não é desembolso FY25; valor de tecnologia não equivale a custo marginal ou caixa. Sem divisão dinheiro/tecnologia nem tratamento fiscal por programa.</x:v>
      </x:c>
    </x:row>
    <x:row r="98" ht="70" customHeight="1">
      <x:c r="A98" s="21" t="str">
        <x:v>elevate_credentials_target</x:v>
      </x:c>
      <x:c r="B98" s="21" t="str">
        <x:v>Meta de pessoas com credencial em AI</x:v>
      </x:c>
      <x:c r="C98" s="51" t="n">
        <x:v>20000000</x:v>
      </x:c>
      <x:c r="D98" s="21" t="str">
        <x:v>people</x:v>
      </x:c>
      <x:c r="E98" s="21" t="str">
        <x:v>dois anos após anúncio09/07/2025</x:v>
      </x:c>
      <x:c r="F98" s="21" t="str">
        <x:v>Meta anunciada</x:v>
      </x:c>
      <x:c r="G98" s="21"/>
      <x:c r="H98" s="21" t="str">
        <x:v>IMPACT_5</x:v>
      </x:c>
      <x:c r="I98" s="21" t="str">
        <x:v>09/07/2025, Elevate Academy</x:v>
      </x:c>
      <x:c r="J98" s="21" t="str">
        <x:v>Microsoft — autorrelato</x:v>
      </x:c>
      <x:c r="K98" s="21" t="str">
        <x:v>Sem asseguração independente identificada para este indicador.</x:v>
      </x:c>
      <x:c r="L98" s="21" t="str">
        <x:v>Contribuinte: Microsoft. Forma: indicador_fisico. Alinhamento: outside_FY25_future. Grupo de sobreposição: elevate_pledge. Não é valor financeiro de aporte; não inferir abatimento fiscal ou custo. Credencial não comprova emprego/renda adicional; não registrar meta como conclusão.</x:v>
      </x:c>
    </x:row>
    <x:row r="99" ht="84" customHeight="1">
      <x:c r="A99" s="21" t="str">
        <x:v>ai_accessibility_participants</x:v>
      </x:c>
      <x:c r="B99" s="21" t="str">
        <x:v>Participantes acumulados de AI Skilling focado em acessibilidade, mais de5 milhões</x:v>
      </x:c>
      <x:c r="C99" s="51" t="n">
        <x:v>5000000</x:v>
      </x:c>
      <x:c r="D99" s="21" t="str">
        <x:v>people</x:v>
      </x:c>
      <x:c r="E99" s="21" t="str">
        <x:v>acumulado informado no Impact Summary2025; início/fim não definidos</x:v>
      </x:c>
      <x:c r="F99" s="21" t="str">
        <x:v>Executado, reportado</x:v>
      </x:c>
      <x:c r="G99" s="21"/>
      <x:c r="H99" s="21" t="str">
        <x:v>IMPACT_4</x:v>
      </x:c>
      <x:c r="I99" s="21" t="str">
        <x:v>p.5</x:v>
      </x:c>
      <x:c r="J99" s="21" t="str">
        <x:v>Microsoft — autorrelato</x:v>
      </x:c>
      <x:c r="K99" s="21" t="str">
        <x:v>Sem asseguração independente identificada para este indicador.</x:v>
      </x:c>
      <x:c r="L99" s="21" t="str">
        <x:v>Contribuinte: Microsoft. Forma: indicador_fisico. Valor informado como superior ao número registrado. Alinhamento: cumulative_unspecified. Grupo de sobreposição: não informado. Não é valor financeiro de aporte; não inferir abatimento fiscal ou custo. Participação não é certificação/conclusão/emprego. Possível sobreposição com outras iniciativas; sem desagregação.</x:v>
      </x:c>
    </x:row>
    <x:row r="100" ht="70" customHeight="1">
      <x:c r="A100" s="21" t="str">
        <x:v>corp_cash_giving_fy25</x:v>
      </x:c>
      <x:c r="B100" s="21" t="str">
        <x:v>Total de doações corporativas em dinheiro FY25 isolado</x:v>
      </x:c>
      <x:c r="C100" s="51"/>
      <x:c r="D100" s="21" t="str">
        <x:v>USD</x:v>
      </x:c>
      <x:c r="E100" s="21" t="str">
        <x:v>FY2025</x:v>
      </x:c>
      <x:c r="F100" s="21" t="str">
        <x:v>Não identificado</x:v>
      </x:c>
      <x:c r="G100" s="21"/>
      <x:c r="H100" s="21" t="str">
        <x:v>IMPACT_8</x:v>
      </x:c>
      <x:c r="I100" s="21" t="str">
        <x:v>Hub / fontes examinadas</x:v>
      </x:c>
      <x:c r="J100" s="21" t="str">
        <x:v>Microsoft — autorrelato</x:v>
      </x:c>
      <x:c r="K100" s="21" t="str">
        <x:v>Sem asseguração independente identificada para este indicador.</x:v>
      </x:c>
      <x:c r="L100" s="21" t="str">
        <x:v>Contribuinte: Microsoft. Forma: cash. Alinhamento: confirmed. Grupo de sobreposição: não informado. Benefício fiscal específico e custo líquido após tributos não divulgados/não verificados; não imputar valor. Não encontrado total FY25 separado da contribuição dos empregados e sem sobreposição. Não é zero.</x:v>
      </x:c>
    </x:row>
    <x:row r="101" ht="84" customHeight="1">
      <x:c r="A101" s="21" t="str">
        <x:v>tech_giving_fy25</x:v>
      </x:c>
      <x:c r="B101" s="21" t="str">
        <x:v>Total FY25 separado de tecnologia doada e descontos concedidos</x:v>
      </x:c>
      <x:c r="C101" s="51"/>
      <x:c r="D101" s="21" t="str">
        <x:v>USD</x:v>
      </x:c>
      <x:c r="E101" s="21" t="str">
        <x:v>FY2025</x:v>
      </x:c>
      <x:c r="F101" s="21" t="str">
        <x:v>Não identificado</x:v>
      </x:c>
      <x:c r="G101" s="21"/>
      <x:c r="H101" s="21" t="str">
        <x:v>IMPACT_8</x:v>
      </x:c>
      <x:c r="I101" s="21" t="str">
        <x:v>Hub / Impact Summary2025</x:v>
      </x:c>
      <x:c r="J101" s="21" t="str">
        <x:v>Microsoft — autorrelato</x:v>
      </x:c>
      <x:c r="K101" s="21" t="str">
        <x:v>Sem asseguração independente identificada para este indicador.</x:v>
      </x:c>
      <x:c r="L101" s="21" t="str">
        <x:v>Contribuinte: Microsoft. Forma: in_kind_e_descontos. Alinhamento: confirmed. Grupo de sobreposição: não informado. Benefício fiscal específico e custo líquido após tributos não divulgados/não verificados; não imputar valor. Não transportar US$4,7B FY24 para FY25. Link atual Donations and volunteerism resolve para ficha2021. Desconto, preço de lista, custo da licença e desembolso são medidas diferentes.</x:v>
      </x:c>
    </x:row>
    <x:row r="102" ht="70" customHeight="1">
      <x:c r="A102" s="21" t="str">
        <x:v>employee_count</x:v>
      </x:c>
      <x:c r="B102" s="21" t="str">
        <x:v>Empregados em tempo integral</x:v>
      </x:c>
      <x:c r="C102" s="51" t="n">
        <x:v>228000</x:v>
      </x:c>
      <x:c r="D102" s="21" t="str">
        <x:v>people</x:v>
      </x:c>
      <x:c r="E102" s="21" t="str">
        <x:v>posição em30/06/2025</x:v>
      </x:c>
      <x:c r="F102" s="21" t="str">
        <x:v>Executado, reportado</x:v>
      </x:c>
      <x:c r="G102" s="21"/>
      <x:c r="H102" s="21" t="str">
        <x:v>IMPACT_3</x:v>
      </x:c>
      <x:c r="I102" s="21" t="str">
        <x:v>HUMAN CAPITAL RESOURCES</x:v>
      </x:c>
      <x:c r="J102" s="21" t="str">
        <x:v>Microsoft — autorrelato</x:v>
      </x:c>
      <x:c r="K102" s="21" t="str">
        <x:v>Sem asseguração independente identificada para este indicador.</x:v>
      </x:c>
      <x:c r="L102" s="21" t="str">
        <x:v>Contribuinte: Microsoft. Forma: indicador_fisico. Alinhamento: confirmed_point_in_time. Grupo de sobreposição: não informado. Não é valor financeiro de aporte; não inferir abatimento fiscal ou custo. 125mil EUA/103mil internacional; não é saldo líquido de vagas criadas; não mede terceirizados ou qualidade do trabalho.</x:v>
      </x:c>
    </x:row>
    <x:row r="103" ht="98" customHeight="1">
      <x:c r="A103" s="21" t="str">
        <x:v>retirement_2025</x:v>
      </x:c>
      <x:c r="B103" s="21" t="str">
        <x:v>Benefícios previdenciários financiados pelo empregador, reconhecidos como despesa quando contribuídos</x:v>
      </x:c>
      <x:c r="C103" s="51" t="n">
        <x:v>1800000000</x:v>
      </x:c>
      <x:c r="D103" s="21" t="str">
        <x:v>USD</x:v>
      </x:c>
      <x:c r="E103" s="21" t="str">
        <x:v>FY2025</x:v>
      </x:c>
      <x:c r="F103" s="21" t="str">
        <x:v>Executado, reportado</x:v>
      </x:c>
      <x:c r="G103" s="21"/>
      <x:c r="H103" s="21" t="str">
        <x:v>IMPACT_3</x:v>
      </x:c>
      <x:c r="I103" s="21" t="str">
        <x:v>Nota17, Savings Plans</x:v>
      </x:c>
      <x:c r="J103" s="21" t="str">
        <x:v>Deloitte &amp; Touche LLP</x:v>
      </x:c>
      <x:c r="K103" s="21" t="str">
        <x:v>Demonstrações financeiras e notas auditadas segundo PCAOB, parecer no Annual Report2025.</x:v>
      </x:c>
      <x:c r="L103" s="21" t="str">
        <x:v>Contribuinte: Microsoft. Forma: beneficio_previdenciario_empresa. Alinhamento: confirmed. Grupo de sobreposição: worker_benefits_and_operating_expenses. Benefício fiscal específico e custo líquido após tributos não divulgados/não verificados; não imputar valor. Já integra despesas antes do lucro líquido; não subtrair novamente do lucro nem somar a outra rubrica de benefícios que o contenha. Não representa gasto total com trabalhadores.</x:v>
      </x:c>
    </x:row>
    <x:row r="104" ht="98" customHeight="1">
      <x:c r="A104" s="21" t="str">
        <x:v>retirement_2024</x:v>
      </x:c>
      <x:c r="B104" s="21" t="str">
        <x:v>Benefícios previdenciários financiados pelo empregador, reconhecidos como despesa quando contribuídos</x:v>
      </x:c>
      <x:c r="C104" s="51" t="n">
        <x:v>1700000000</x:v>
      </x:c>
      <x:c r="D104" s="21" t="str">
        <x:v>USD</x:v>
      </x:c>
      <x:c r="E104" s="21" t="str">
        <x:v>FY2024</x:v>
      </x:c>
      <x:c r="F104" s="21" t="str">
        <x:v>Executado, reportado</x:v>
      </x:c>
      <x:c r="G104" s="21"/>
      <x:c r="H104" s="21" t="str">
        <x:v>IMPACT_3</x:v>
      </x:c>
      <x:c r="I104" s="21" t="str">
        <x:v>Nota17, Savings Plans</x:v>
      </x:c>
      <x:c r="J104" s="21" t="str">
        <x:v>Deloitte &amp; Touche LLP</x:v>
      </x:c>
      <x:c r="K104" s="21" t="str">
        <x:v>Demonstrações financeiras e notas auditadas segundo PCAOB, parecer no Annual Report2025.</x:v>
      </x:c>
      <x:c r="L104" s="21" t="str">
        <x:v>Contribuinte: Microsoft. Forma: beneficio_previdenciario_empresa. Alinhamento: confirmed. Grupo de sobreposição: worker_benefits_and_operating_expenses. Benefício fiscal específico e custo líquido após tributos não divulgados/não verificados; não imputar valor. Já integra despesas antes do lucro líquido; não subtrair novamente do lucro nem somar a outra rubrica de benefícios que o contenha. Não representa gasto total com trabalhadores.</x:v>
      </x:c>
    </x:row>
    <x:row r="105" ht="98" customHeight="1">
      <x:c r="A105" s="21" t="str">
        <x:v>retirement_2023</x:v>
      </x:c>
      <x:c r="B105" s="21" t="str">
        <x:v>Benefícios previdenciários financiados pelo empregador, reconhecidos como despesa quando contribuídos</x:v>
      </x:c>
      <x:c r="C105" s="51" t="n">
        <x:v>1600000000</x:v>
      </x:c>
      <x:c r="D105" s="21" t="str">
        <x:v>USD</x:v>
      </x:c>
      <x:c r="E105" s="21" t="str">
        <x:v>FY2023</x:v>
      </x:c>
      <x:c r="F105" s="21" t="str">
        <x:v>Executado, reportado</x:v>
      </x:c>
      <x:c r="G105" s="21"/>
      <x:c r="H105" s="21" t="str">
        <x:v>IMPACT_3</x:v>
      </x:c>
      <x:c r="I105" s="21" t="str">
        <x:v>Nota17, Savings Plans</x:v>
      </x:c>
      <x:c r="J105" s="21" t="str">
        <x:v>Deloitte &amp; Touche LLP</x:v>
      </x:c>
      <x:c r="K105" s="21" t="str">
        <x:v>Demonstrações financeiras e notas auditadas segundo PCAOB, parecer no Annual Report2025.</x:v>
      </x:c>
      <x:c r="L105" s="21" t="str">
        <x:v>Contribuinte: Microsoft. Forma: beneficio_previdenciario_empresa. Alinhamento: confirmed. Grupo de sobreposição: worker_benefits_and_operating_expenses. Benefício fiscal específico e custo líquido após tributos não divulgados/não verificados; não imputar valor. Já integra despesas antes do lucro líquido; não subtrair novamente do lucro nem somar a outra rubrica de benefícios que o contenha. Não representa gasto total com trabalhadores.</x:v>
      </x:c>
    </x:row>
    <x:row r="106" ht="84" customHeight="1">
      <x:c r="A106" s="21" t="str">
        <x:v>employee_training</x:v>
      </x:c>
      <x:c r="B106" s="21" t="str">
        <x:v>Acesso a aprendizagem contínua interna e externa; total de horas/custo FY25 não identificado</x:v>
      </x:c>
      <x:c r="C106" s="51"/>
      <x:c r="D106" s="21" t="str">
        <x:v>hours_or_USD</x:v>
      </x:c>
      <x:c r="E106" s="21" t="str">
        <x:v>FY2025</x:v>
      </x:c>
      <x:c r="F106" s="21" t="str">
        <x:v>Qualitativo, sem valor</x:v>
      </x:c>
      <x:c r="G106" s="21"/>
      <x:c r="H106" s="21" t="str">
        <x:v>IMPACT_3</x:v>
      </x:c>
      <x:c r="I106" s="21" t="str">
        <x:v>HUMAN CAPITAL RESOURCES</x:v>
      </x:c>
      <x:c r="J106" s="21" t="str">
        <x:v>Microsoft — autorrelato</x:v>
      </x:c>
      <x:c r="K106" s="21" t="str">
        <x:v>Sem asseguração independente identificada para este indicador.</x:v>
      </x:c>
      <x:c r="L106" s="21" t="str">
        <x:v>Contribuinte: Microsoft. Forma: indicador_fisico. Alinhamento: confirmed. Grupo de sobreposição: não informado. Não é valor financeiro de aporte; não inferir abatimento fiscal ou custo. Sem taxa de promoção interna, remuneração mediana global comparável, satisfação FY25 ou custo específico de formação nas fontes examinadas. Não converter gasto total de P&amp;D em formação ou humanização.</x:v>
      </x:c>
    </x:row>
    <x:row r="107" ht="126" customHeight="1">
      <x:c r="A107" s="21" t="str">
        <x:v>gateway_program</x:v>
      </x:c>
      <x:c r="B107" s="21" t="str">
        <x:v>Gateway Technical College confirma oferta de certificado IT–Microsoft Data Center, apoio financeiro a estudantes e bootcamp de educadores em2024</x:v>
      </x:c>
      <x:c r="C107" s="51"/>
      <x:c r="D107" s="21" t="str">
        <x:v>USD_unknown</x:v>
      </x:c>
      <x:c r="E107" s="21" t="str">
        <x:v>relatório acadêmico2024–2025; evento verão2024</x:v>
      </x:c>
      <x:c r="F107" s="21" t="str">
        <x:v>Executado, reportado</x:v>
      </x:c>
      <x:c r="G107" s="21"/>
      <x:c r="H107" s="21" t="str">
        <x:v>IMPACT_7</x:v>
      </x:c>
      <x:c r="I107" s="21" t="str">
        <x:v>p.9 impressa (página9 do PDF), Microsoft helps Gateway bring industry-driven training to college</x:v>
      </x:c>
      <x:c r="J107" s="21" t="str">
        <x:v>Gateway Technical College — instituição parceira/executora</x:v>
      </x:c>
      <x:c r="K107" s="21" t="str">
        <x:v>Corroboração pública da execução e oferta educacional; não auditoria independente nem avaliação causal.</x:v>
      </x:c>
      <x:c r="L107" s="21" t="str">
        <x:v>Contribuinte: Microsoft + Gateway Technical College. Forma: apoio_financeiro_e_curriculo_sem_valor_aberto. Alinhamento: partly_overlaps_FY25_dates_unresolved. Grupo de sobreposição: não informado. Benefício fiscal específico e custo líquido após tributos não divulgados/não verificados; não imputar valor. Certificado de dois semestres e quatro disciplinas. Valor exato, participantes, concluintes, emprego e salários não quantificados no trecho. Depoimento estudantil é evidência qualitativa, não resultado causal ou amostra representativa. Parceiro recebe apoio e não é avaliador independente.</x:v>
      </x:c>
    </x:row>
    <x:row r="108" ht="98" customHeight="1">
      <x:c r="A108" s="21" t="str">
        <x:v>climate_fund_allocated</x:v>
      </x:c>
      <x:c r="B108" s="21" t="str">
        <x:v>Climate Innovation Fund: capital alocado a67 investidas desde2020</x:v>
      </x:c>
      <x:c r="C108" s="51" t="n">
        <x:v>815000000</x:v>
      </x:c>
      <x:c r="D108" s="21" t="str">
        <x:v>USD</x:v>
      </x:c>
      <x:c r="E108" s="21" t="str">
        <x:v>acumulado desde2020 até relatório2026; data de corte específica não definida</x:v>
      </x:c>
      <x:c r="F108" s="21" t="str">
        <x:v>Alocado, reportado</x:v>
      </x:c>
      <x:c r="G108" s="21"/>
      <x:c r="H108" s="21" t="str">
        <x:v>IMPACT_2</x:v>
      </x:c>
      <x:c r="I108" s="21" t="str">
        <x:v>p.9 Building markets</x:v>
      </x:c>
      <x:c r="J108" s="21" t="str">
        <x:v>Microsoft — autorrelato</x:v>
      </x:c>
      <x:c r="K108" s="21" t="str">
        <x:v>Sem asseguração independente identificada para este indicador.</x:v>
      </x:c>
      <x:c r="L108" s="21" t="str">
        <x:v>Contribuinte: Microsoft. Forma: investimento_financeiro_nao_doacao. Alinhamento: cumulative_not_FY25. Grupo de sobreposição: não informado. Benefício fiscal específico e custo líquido após tributos não divulgados/não verificados; não imputar valor. Mandato de US$1B não é desembolso adicional. Alocado não demonstra integralmente pago; pode gerar retorno financeiro. Não lançar automaticamente como filantropia nem penalizar sem analisar finalidade ambiental.</x:v>
      </x:c>
    </x:row>
    <x:row r="109" ht="22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2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30" customHeight="1">
      <x:c r="A111" s="15" t="str">
        <x:v>Comparação</x:v>
      </x:c>
      <x:c r="B111" s="16" t="str">
        <x:v>Indicador</x:v>
      </x:c>
      <x:c r="C111" s="16" t="str">
        <x:v>Unidade</x:v>
      </x:c>
      <x:c r="D111" s="16" t="str">
        <x:v>FY2024</x:v>
      </x:c>
      <x:c r="E111" s="16" t="str">
        <x:v>FY2025</x:v>
      </x:c>
      <x:c r="F111" s="16" t="str">
        <x:v>Ressalva</x:v>
      </x:c>
      <x:c r="G111" s="18" t="str"/>
      <x:c r="H111" s="16" t="str">
        <x:v>Fonte</x:v>
      </x:c>
      <x:c r="I111" s="17" t="str">
        <x:v>Página</x:v>
      </x:c>
      <x:c r="J111" s="2"/>
      <x:c r="K111" s="2"/>
      <x:c r="L111" s="2"/>
    </x:row>
    <x:row r="112" ht="58" customHeight="1">
      <x:c r="A112" s="21" t="str">
        <x:v>comparison.0</x:v>
      </x:c>
      <x:c r="B112" s="21" t="str">
        <x:v>GHG tabela1A</x:v>
      </x:c>
      <x:c r="C112" s="21" t="str">
        <x:v>tCO2e</x:v>
      </x:c>
      <x:c r="D112" s="52" t="n">
        <x:v>16693000</x:v>
      </x:c>
      <x:c r="E112" s="52" t="n">
        <x:v>21121000</x:v>
      </x:c>
      <x:c r="F112" s="21" t="str">
        <x:v>FY24 reexpresso; ano anterior excluído da revisão2026.</x:v>
      </x:c>
      <x:c r="G112" s="21"/>
      <x:c r="H112" s="21" t="str">
        <x:v>IMPACT_1</x:v>
      </x:c>
      <x:c r="I112" s="21" t="str">
        <x:v>3</x:v>
      </x:c>
      <x:c r="J112" s="21"/>
      <x:c r="K112" s="21"/>
      <x:c r="L112" s="21"/>
    </x:row>
    <x:row r="113" ht="58" customHeight="1">
      <x:c r="A113" s="21" t="str">
        <x:v>comparison.1</x:v>
      </x:c>
      <x:c r="B113" s="21" t="str">
        <x:v>GHG critérios administração tabela1B</x:v>
      </x:c>
      <x:c r="C113" s="21" t="str">
        <x:v>tCO2e</x:v>
      </x:c>
      <x:c r="D113" s="52" t="n">
        <x:v>16215000</x:v>
      </x:c>
      <x:c r="E113" s="52" t="n">
        <x:v>20290000</x:v>
      </x:c>
      <x:c r="F113" s="21" t="str">
        <x:v>25% narrativo corresponde aproximadamente a esta série, não à tabela1A. Não somar séries.</x:v>
      </x:c>
      <x:c r="G113" s="21"/>
      <x:c r="H113" s="21" t="str">
        <x:v>IMPACT_1</x:v>
      </x:c>
      <x:c r="I113" s="21" t="str">
        <x:v>4</x:v>
      </x:c>
      <x:c r="J113" s="21"/>
      <x:c r="K113" s="21"/>
      <x:c r="L113" s="21"/>
    </x:row>
    <x:row r="114" ht="58" customHeight="1">
      <x:c r="A114" s="21" t="str">
        <x:v>comparison.2</x:v>
      </x:c>
      <x:c r="B114" s="21" t="str">
        <x:v>Eletricidade</x:v>
      </x:c>
      <x:c r="C114" s="21" t="str">
        <x:v>MWh</x:v>
      </x:c>
      <x:c r="D114" s="52" t="n">
        <x:v>29829540</x:v>
      </x:c>
      <x:c r="E114" s="52" t="n">
        <x:v>37026353</x:v>
      </x:c>
      <x:c r="F114" s="21" t="str">
        <x:v>FY2024 fora da revisão limitada de FY2025.</x:v>
      </x:c>
      <x:c r="G114" s="21"/>
      <x:c r="H114" s="21" t="str">
        <x:v>IMPACT_1</x:v>
      </x:c>
      <x:c r="I114" s="21" t="str">
        <x:v>6</x:v>
      </x:c>
      <x:c r="J114" s="21"/>
      <x:c r="K114" s="21"/>
      <x:c r="L114" s="21"/>
    </x:row>
    <x:row r="115" ht="58" customHeight="1">
      <x:c r="A115" s="21" t="str">
        <x:v>comparison.3</x:v>
      </x:c>
      <x:c r="B115" s="21" t="str">
        <x:v>Água retirada</x:v>
      </x:c>
      <x:c r="C115" s="21" t="str">
        <x:v>ML</x:v>
      </x:c>
      <x:c r="D115" s="52" t="n">
        <x:v>11590</x:v>
      </x:c>
      <x:c r="E115" s="52" t="n">
        <x:v>13266</x:v>
      </x:c>
      <x:c r="F115" s="21" t="str">
        <x:v>Série histórica recalculada, inclusive volumes antes não reportados e ABK.</x:v>
      </x:c>
      <x:c r="G115" s="21"/>
      <x:c r="H115" s="21" t="str">
        <x:v>IMPACT_1</x:v>
      </x:c>
      <x:c r="I115" s="21" t="str">
        <x:v>7</x:v>
      </x:c>
      <x:c r="J115" s="21"/>
      <x:c r="K115" s="21"/>
      <x:c r="L115" s="21"/>
    </x:row>
    <x:row r="116" ht="58" customHeight="1">
      <x:c r="A116" s="21" t="str">
        <x:v>comparison.4</x:v>
      </x:c>
      <x:c r="B116" s="21" t="str">
        <x:v>Água consumida</x:v>
      </x:c>
      <x:c r="C116" s="21" t="str">
        <x:v>ML</x:v>
      </x:c>
      <x:c r="D116" s="52" t="n">
        <x:v>6693</x:v>
      </x:c>
      <x:c r="E116" s="52" t="n">
        <x:v>8170</x:v>
      </x:c>
      <x:c r="F116" s="21" t="str">
        <x:v>FY2024 fora da revisão limitada de FY2025.</x:v>
      </x:c>
      <x:c r="G116" s="21"/>
      <x:c r="H116" s="21" t="str">
        <x:v>IMPACT_1</x:v>
      </x:c>
      <x:c r="I116" s="21" t="str">
        <x:v>7</x:v>
      </x:c>
      <x:c r="J116" s="21"/>
      <x:c r="K116" s="21"/>
      <x:c r="L116" s="21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30" customHeight="1">
      <x:c r="A119" s="15" t="str">
        <x:v>Código</x:v>
      </x:c>
      <x:c r="B119" s="16" t="str">
        <x:v>Documento</x:v>
      </x:c>
      <x:c r="C119" s="16" t="str">
        <x:v>Consulta</x:v>
      </x:c>
      <x:c r="D119" s="18" t="str"/>
      <x:c r="E119" s="18" t="str"/>
      <x:c r="F119" s="18" t="str"/>
      <x:c r="G119" s="18" t="str"/>
      <x:c r="H119" s="18" t="str"/>
      <x:c r="I119" s="16" t="str">
        <x:v>Localização / natureza</x:v>
      </x:c>
      <x:c r="J119" s="16" t="str"/>
      <x:c r="K119" s="16" t="str"/>
      <x:c r="L119" s="17" t="str">
        <x:v>URL pública</x:v>
      </x:c>
    </x:row>
    <x:row r="120" ht="94" customHeight="1">
      <x:c r="A120" s="21" t="str">
        <x:v>AR2025</x:v>
      </x:c>
      <x:c r="B120" s="21" t="str">
        <x:v>Microsoft Annual Report 2025</x:v>
      </x:c>
      <x:c r="C120" s="54" t="n">
        <x:v>46283.5</x:v>
      </x:c>
      <x:c r="D120" s="21"/>
      <x:c r="E120" s="21"/>
      <x:c r="F120" s="21"/>
      <x:c r="G120" s="21"/>
      <x:c r="H120" s="21"/>
      <x:c r="I120" s="21" t="str">
        <x:v>Statements of Income; Statements of Cash Flows; Statements of Stockholders Equity; Notes 1, 13, 15; Human Capital Resources; Auditor’s Report</x:v>
      </x:c>
      <x:c r="J120" s="21"/>
      <x:c r="K120" s="21"/>
      <x:c r="L120" s="21" t="str">
        <x:v>https://www.microsoft.com/investor/reports/ar25/</x:v>
      </x:c>
    </x:row>
    <x:row r="121" ht="66" customHeight="1">
      <x:c r="A121" s="21" t="str">
        <x:v>SEC2025</x:v>
      </x:c>
      <x:c r="B121" s="21" t="str">
        <x:v>Microsoft Form 10-K, fiscal year ended June 30, 2025</x:v>
      </x:c>
      <x:c r="C121" s="54" t="n">
        <x:v>46283.5</x:v>
      </x:c>
      <x:c r="D121" s="21"/>
      <x:c r="E121" s="21"/>
      <x:c r="F121" s="21"/>
      <x:c r="G121" s="21"/>
      <x:c r="H121" s="21"/>
      <x:c r="I121" s="21" t="str">
        <x:v>Item 8 — Financial Statements and Supplementary Data; Item 1 — Human Capital Resources</x:v>
      </x:c>
      <x:c r="J121" s="21"/>
      <x:c r="K121" s="21"/>
      <x:c r="L121" s="21" t="str">
        <x:v>https://www.sec.gov/Archives/edgar/data/789019/000095017025100235/msft-20250630.htm</x:v>
      </x:c>
    </x:row>
    <x:row r="122" ht="38" customHeight="1">
      <x:c r="A122" s="21" t="str">
        <x:v>AR2024</x:v>
      </x:c>
      <x:c r="B122" s="21" t="str">
        <x:v>Microsoft Annual Report 2024</x:v>
      </x:c>
      <x:c r="C122" s="54" t="n">
        <x:v>46283.5</x:v>
      </x:c>
      <x:c r="D122" s="21"/>
      <x:c r="E122" s="21"/>
      <x:c r="F122" s="21"/>
      <x:c r="G122" s="21"/>
      <x:c r="H122" s="21"/>
      <x:c r="I122" s="21" t="str">
        <x:v>Human Capital Resources</x:v>
      </x:c>
      <x:c r="J122" s="21"/>
      <x:c r="K122" s="21"/>
      <x:c r="L122" s="21" t="str">
        <x:v>https://www.microsoft.com/investor/reports/ar24/</x:v>
      </x:c>
    </x:row>
    <x:row r="123" ht="38" customHeight="1">
      <x:c r="A123" s="21" t="str">
        <x:v>AR2023</x:v>
      </x:c>
      <x:c r="B123" s="21" t="str">
        <x:v>Microsoft Annual Report 2023</x:v>
      </x:c>
      <x:c r="C123" s="54" t="n">
        <x:v>46283.5</x:v>
      </x:c>
      <x:c r="D123" s="21"/>
      <x:c r="E123" s="21"/>
      <x:c r="F123" s="21"/>
      <x:c r="G123" s="21"/>
      <x:c r="H123" s="21"/>
      <x:c r="I123" s="21" t="str">
        <x:v>Human Capital Resources</x:v>
      </x:c>
      <x:c r="J123" s="21"/>
      <x:c r="K123" s="21"/>
      <x:c r="L123" s="21" t="str">
        <x:v>https://www.microsoft.com/investor/reports/ar23/</x:v>
      </x:c>
    </x:row>
    <x:row r="124" ht="52" customHeight="1">
      <x:c r="A124" s="21" t="str">
        <x:v>RELEASE2026</x:v>
      </x:c>
      <x:c r="B124" s="21" t="str">
        <x:v>Microsoft FY2026 Q4 earnings release</x:v>
      </x:c>
      <x:c r="C124" s="54" t="n">
        <x:v>46283.5</x:v>
      </x:c>
      <x:c r="D124" s="21"/>
      <x:c r="E124" s="21"/>
      <x:c r="F124" s="21"/>
      <x:c r="G124" s="21"/>
      <x:c r="H124" s="21"/>
      <x:c r="I124" s="21" t="str">
        <x:v>Annual income and cash-flow columns; prior-period presentation footnote</x:v>
      </x:c>
      <x:c r="J124" s="21"/>
      <x:c r="K124" s="21"/>
      <x:c r="L124" s="21" t="str">
        <x:v>https://www.microsoft.com/en-us/investor/earnings/fy-2026-q4/press-release-webcast</x:v>
      </x:c>
    </x:row>
    <x:row r="125" ht="38" customHeight="1">
      <x:c r="A125" s="21" t="str">
        <x:v>SEC2026</x:v>
      </x:c>
      <x:c r="B125" s="21" t="str">
        <x:v>Microsoft Form 10-K, fiscal year ended June 30, 2026</x:v>
      </x:c>
      <x:c r="C125" s="54" t="n">
        <x:v>46283.5</x:v>
      </x:c>
      <x:c r="D125" s="21"/>
      <x:c r="E125" s="21"/>
      <x:c r="F125" s="21"/>
      <x:c r="G125" s="21"/>
      <x:c r="H125" s="21"/>
      <x:c r="I125" s="21" t="str">
        <x:v>Human Capital Resources</x:v>
      </x:c>
      <x:c r="J125" s="21"/>
      <x:c r="K125" s="21"/>
      <x:c r="L125" s="21" t="str">
        <x:v>https://www.sec.gov/Archives/edgar/data/789019/000119312526323660/msft-20260630.htm</x:v>
      </x:c>
    </x:row>
    <x:row r="126" ht="38" customHeight="1">
      <x:c r="A126" s="21" t="str">
        <x:v>IMPACT_1</x:v>
      </x:c>
      <x:c r="B126" s="21" t="str">
        <x:v>Environmental Data Fact Sheet2026</x:v>
      </x:c>
      <x:c r="C126" s="54" t="n">
        <x:v>46283.5</x:v>
      </x:c>
      <x:c r="D126" s="21"/>
      <x:c r="E126" s="21"/>
      <x:c r="F126" s="21"/>
      <x:c r="G126" s="21"/>
      <x:c r="H126" s="21"/>
      <x:c r="I126" s="21" t="str">
        <x:v>corporate_with_limited_assurance_scope</x:v>
      </x:c>
      <x:c r="J126" s="21"/>
      <x:c r="K126" s="21"/>
      <x:c r="L126" s="21" t="str">
        <x:v>https://cdn-dynmedia-1.microsoft.com/is/content/microsoftcorp/microsoft/msc/documents/presentations/CSR/2026-Microsoft-Environmental-Data-Fact-Sheet-PDF.pdf</x:v>
      </x:c>
    </x:row>
    <x:row r="127" ht="52" customHeight="1">
      <x:c r="A127" s="21" t="str">
        <x:v>IMPACT_2</x:v>
      </x:c>
      <x:c r="B127" s="21" t="str">
        <x:v>Environmental Sustainability Report2026</x:v>
      </x:c>
      <x:c r="C127" s="54" t="n">
        <x:v>46283.5</x:v>
      </x:c>
      <x:c r="D127" s="21"/>
      <x:c r="E127" s="21"/>
      <x:c r="F127" s="21"/>
      <x:c r="G127" s="21"/>
      <x:c r="H127" s="21"/>
      <x:c r="I127" s="21" t="str">
        <x:v>corporate_self_report</x:v>
      </x:c>
      <x:c r="J127" s="21"/>
      <x:c r="K127" s="21"/>
      <x:c r="L127" s="21" t="str">
        <x:v>https://cdn-dynmedia-1.microsoft.com/is/content/microsoftcorp/microsoft/msc/documents/presentations/CSR/2026-Microsoft-Environmental-Sustainability-Report-PDF.pdf</x:v>
      </x:c>
    </x:row>
    <x:row r="128" ht="52" customHeight="1">
      <x:c r="A128" s="21" t="str">
        <x:v>IMPACT_3</x:v>
      </x:c>
      <x:c r="B128" s="21" t="str">
        <x:v>Annual Report2025</x:v>
      </x:c>
      <x:c r="C128" s="54" t="n">
        <x:v>46283.5</x:v>
      </x:c>
      <x:c r="D128" s="21"/>
      <x:c r="E128" s="21"/>
      <x:c r="F128" s="21"/>
      <x:c r="G128" s="21"/>
      <x:c r="H128" s="21"/>
      <x:c r="I128" s="21" t="str">
        <x:v>financial_statements_audited_narrative_not_automatically_audited</x:v>
      </x:c>
      <x:c r="J128" s="21"/>
      <x:c r="K128" s="21"/>
      <x:c r="L128" s="21" t="str">
        <x:v>https://www.microsoft.com/investor/reports/ar25/index.html</x:v>
      </x:c>
    </x:row>
    <x:row r="129" ht="38" customHeight="1">
      <x:c r="A129" s="21" t="str">
        <x:v>IMPACT_4</x:v>
      </x:c>
      <x:c r="B129" s="21" t="str">
        <x:v>Impact Summary2025</x:v>
      </x:c>
      <x:c r="C129" s="54" t="n">
        <x:v>46283.5</x:v>
      </x:c>
      <x:c r="D129" s="21"/>
      <x:c r="E129" s="21"/>
      <x:c r="F129" s="21"/>
      <x:c r="G129" s="21"/>
      <x:c r="H129" s="21"/>
      <x:c r="I129" s="21" t="str">
        <x:v>corporate_self_report</x:v>
      </x:c>
      <x:c r="J129" s="21"/>
      <x:c r="K129" s="21"/>
      <x:c r="L129" s="21" t="str">
        <x:v>https://cdn-dynmedia-1.microsoft.com/is/content/microsoftcorp/microsoft/msc/documents/presentations/CSR/Impact-Summary-Report-2025.pdf</x:v>
      </x:c>
    </x:row>
    <x:row r="130" ht="38" customHeight="1">
      <x:c r="A130" s="21" t="str">
        <x:v>IMPACT_5</x:v>
      </x:c>
      <x:c r="B130" s="21" t="str">
        <x:v>Elevate launch09/07/2025</x:v>
      </x:c>
      <x:c r="C130" s="54" t="n">
        <x:v>46283.5</x:v>
      </x:c>
      <x:c r="D130" s="21"/>
      <x:c r="E130" s="21"/>
      <x:c r="F130" s="21"/>
      <x:c r="G130" s="21"/>
      <x:c r="H130" s="21"/>
      <x:c r="I130" s="21" t="str">
        <x:v>corporate_announcement</x:v>
      </x:c>
      <x:c r="J130" s="21"/>
      <x:c r="K130" s="21"/>
      <x:c r="L130" s="21" t="str">
        <x:v>https://blogs.microsoft.com/on-the-issues/2025/07/09/elevate/</x:v>
      </x:c>
    </x:row>
    <x:row r="131" ht="38" customHeight="1">
      <x:c r="A131" s="21" t="str">
        <x:v>IMPACT_6</x:v>
      </x:c>
      <x:c r="B131" s="21" t="str">
        <x:v>Employee giving current page</x:v>
      </x:c>
      <x:c r="C131" s="54" t="n">
        <x:v>46283.5</x:v>
      </x:c>
      <x:c r="D131" s="21"/>
      <x:c r="E131" s="21"/>
      <x:c r="F131" s="21"/>
      <x:c r="G131" s="21"/>
      <x:c r="H131" s="21"/>
      <x:c r="I131" s="21" t="str">
        <x:v>corporate_self_report</x:v>
      </x:c>
      <x:c r="J131" s="21"/>
      <x:c r="K131" s="21"/>
      <x:c r="L131" s="21" t="str">
        <x:v>https://www.microsoft.com/en-us/corporate-responsibility/philanthropies/employee-engagement</x:v>
      </x:c>
    </x:row>
    <x:row r="132" ht="38" customHeight="1">
      <x:c r="A132" s="21" t="str">
        <x:v>IMPACT_7</x:v>
      </x:c>
      <x:c r="B132" s="21" t="str">
        <x:v>Gateway Annual Report2024–2025</x:v>
      </x:c>
      <x:c r="C132" s="54" t="n">
        <x:v>46283.5</x:v>
      </x:c>
      <x:c r="D132" s="21"/>
      <x:c r="E132" s="21"/>
      <x:c r="F132" s="21"/>
      <x:c r="G132" s="21"/>
      <x:c r="H132" s="21"/>
      <x:c r="I132" s="21" t="str">
        <x:v>implementing_partner_primary</x:v>
      </x:c>
      <x:c r="J132" s="21"/>
      <x:c r="K132" s="21"/>
      <x:c r="L132" s="21" t="str">
        <x:v>https://www.gtc.edu/documents/gateway-annual-report-2024-2025</x:v>
      </x:c>
    </x:row>
    <x:row r="133" ht="38" customHeight="1">
      <x:c r="A133" s="21" t="str">
        <x:v>IMPACT_8</x:v>
      </x:c>
      <x:c r="B133" s="21" t="str">
        <x:v>Reports Hub</x:v>
      </x:c>
      <x:c r="C133" s="54" t="n">
        <x:v>46283.5</x:v>
      </x:c>
      <x:c r="D133" s="21"/>
      <x:c r="E133" s="21"/>
      <x:c r="F133" s="21"/>
      <x:c r="G133" s="21"/>
      <x:c r="H133" s="21"/>
      <x:c r="I133" s="21" t="str">
        <x:v>corporate_index</x:v>
      </x:c>
      <x:c r="J133" s="21"/>
      <x:c r="K133" s="21"/>
      <x:c r="L133" s="21" t="str">
        <x:v>https://www.microsoft.com/en-us/corporate-responsibility/reports-hub</x:v>
      </x:c>
    </x:row>
    <x:row r="134" ht="38" customHeight="1">
      <x:c r="A134" s="21" t="str">
        <x:v>IMPACT_9</x:v>
      </x:c>
      <x:c r="B134" s="21" t="str">
        <x:v>Donations and Volunteerism2021</x:v>
      </x:c>
      <x:c r="C134" s="54" t="n">
        <x:v>46283.5</x:v>
      </x:c>
      <x:c r="D134" s="21"/>
      <x:c r="E134" s="21"/>
      <x:c r="F134" s="21"/>
      <x:c r="G134" s="21"/>
      <x:c r="H134" s="21"/>
      <x:c r="I134" s="21" t="str">
        <x:v>stale_redirect_excluded</x:v>
      </x:c>
      <x:c r="J134" s="21"/>
      <x:c r="K134" s="21"/>
      <x:c r="L134" s="21" t="str">
        <x:v>https://cdn-dynmedia-1.microsoft.com/is/content/microsoftcorp/microsoft/msc/documents/presentations/CSR/Data-Factsheet-Donations-and-Volunteerism-2021.pdf</x:v>
      </x:c>
    </x:row>
    <x:row r="135" ht="22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</x:row>
    <x:row r="136" ht="22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</x:row>
    <x:row r="137" ht="22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</x:row>
    <x:row r="138" ht="22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</x:row>
    <x:row r="139" ht="22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</x:row>
    <x:row r="140" ht="22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</x:row>
    <x:row r="141" ht="22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</x:row>
    <x:row r="142" ht="22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</x:row>
    <x:row r="143" ht="22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</x:row>
    <x:row r="144" ht="22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</x:row>
    <x:row r="145" ht="22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</x:row>
    <x:row r="146" ht="22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</x:row>
    <x:row r="147" ht="22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</x:row>
    <x:row r="148" ht="22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</x:row>
    <x:row r="149" ht="22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</x:row>
    <x:row r="150" ht="22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</x:row>
    <x:row r="151" ht="22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</x:row>
    <x:row r="152" ht="22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</x:row>
    <x:row r="153" ht="22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</x:row>
    <x:row r="154" ht="22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</x:row>
    <x:row r="155" ht="22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</x:row>
    <x:row r="156" ht="22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</x:row>
    <x:row r="157" ht="22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</x:row>
    <x:row r="158" ht="22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</x:row>
    <x:row r="159" ht="22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</x:row>
    <x:row r="160" ht="22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</x:row>
    <x:row r="161" ht="22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</x:row>
    <x:row r="162" ht="22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</x:row>
    <x:row r="163" ht="22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</x:row>
    <x:row r="164" ht="22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</x:row>
    <x:row r="165" ht="22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</x:row>
    <x:row r="166" ht="22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</x:row>
    <x:row r="167" ht="22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</x:row>
    <x:row r="168" ht="22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</x:row>
    <x:row r="169" ht="22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</x:row>
    <x:row r="170" ht="22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</x:row>
    <x:row r="171" ht="22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</x:row>
    <x:row r="172" ht="22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</x:row>
    <x:row r="173" ht="22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</x:row>
    <x:row r="174" ht="22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</x:row>
    <x:row r="175" ht="22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</x:row>
    <x:row r="176" ht="22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</x:row>
    <x:row r="177" ht="22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</x:row>
    <x:row r="178" ht="22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</x:row>
    <x:row r="179" ht="22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</x:row>
    <x:row r="180" ht="22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</x:row>
  </x:sheetData>
  <x:pageMargins left="0.7" right="0.7" top="0.75" bottom="0.75" header="0.3" footer="0.3"/>
</x:worksheet>
</file>